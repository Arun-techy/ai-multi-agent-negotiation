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Info" sheetId="1" state="visible" r:id="rId3"/>
    <sheet name="Product Backlog" sheetId="2" state="visible" r:id="rId4"/>
    <sheet name="Epics &amp; Velocity" sheetId="3" state="visible" r:id="rId5"/>
    <sheet name="Extended Features" sheetId="4" state="visible" r:id="rId6"/>
    <sheet name="Sprint Backlog" sheetId="5" state="visible" r:id="rId7"/>
    <sheet name="Standup Log" sheetId="6" state="visible" r:id="rId8"/>
    <sheet name="Bug Tracker" sheetId="7" state="visible" r:id="rId9"/>
    <sheet name="Retrospective" sheetId="8" state="visible" r:id="rId10"/>
    <sheet name="Definition of Done" sheetId="9" state="visible" r:id="rId11"/>
  </sheets>
  <definedNames>
    <definedName function="false" hidden="true" localSheetId="1" name="_xlnm._FilterDatabase" vbProcedure="false">'Product Backlog'!$A$1:$J$18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4" authorId="0">
      <text>
        <r>
          <rPr>
            <sz val="10"/>
            <rFont val="Arial"/>
            <family val="2"/>
          </rPr>
          <t xml:space="preserve">Start/Completion dates for T20-T26 are ESTIMATED from the mentor's weekly-Monday task-assignment cadence (Sept 7 / 14 / 21) — not yet confirmed by the team. Please verify and correct with actual dates.</t>
        </r>
      </text>
    </comment>
  </commentList>
</comments>
</file>

<file path=xl/sharedStrings.xml><?xml version="1.0" encoding="utf-8"?>
<sst xmlns="http://schemas.openxmlformats.org/spreadsheetml/2006/main" count="637" uniqueCount="350">
  <si>
    <t xml:space="preserve">AI-Driven Multi-Agent Negotiation Training &amp; Simulation Platform — Agile Tracker</t>
  </si>
  <si>
    <t xml:space="preserve">Legend: fill only the white/unshaded rows below each header on every sheet. Header rows and shaded cells should not be edited.</t>
  </si>
  <si>
    <t xml:space="preserve">Project Name</t>
  </si>
  <si>
    <t xml:space="preserve">Creation of AI Driven Multi-Agent Negotiation Training &amp; Simulation Platform</t>
  </si>
  <si>
    <t xml:space="preserve">Repository</t>
  </si>
  <si>
    <t xml:space="preserve">https://github.com/adarshmichael/ai-multi-agent-negotiation</t>
  </si>
  <si>
    <t xml:space="preserve">Team</t>
  </si>
  <si>
    <t xml:space="preserve">Team-1</t>
  </si>
  <si>
    <t xml:space="preserve">Team Lead</t>
  </si>
  <si>
    <t xml:space="preserve">Arun</t>
  </si>
  <si>
    <t xml:space="preserve">Team Members</t>
  </si>
  <si>
    <t xml:space="preserve">Arun (TL), Adarsh, Anusha</t>
  </si>
  <si>
    <t xml:space="preserve">Program</t>
  </si>
  <si>
    <t xml:space="preserve">Infosys Springboard Virtual Internship 7.0</t>
  </si>
  <si>
    <t xml:space="preserve">Agile Approach</t>
  </si>
  <si>
    <t xml:space="preserve">Agile / Scrum-style</t>
  </si>
  <si>
    <t xml:space="preserve">Duration</t>
  </si>
  <si>
    <t xml:space="preserve">8 weeks / 4 sprints (19-Aug-2026 to 13-Oct-2026, confirmed)</t>
  </si>
  <si>
    <t xml:space="preserve">Internship Window</t>
  </si>
  <si>
    <t xml:space="preserve">19-Aug-2026 (Sprint 1 start) to 13-Oct-2026 (confirmed end date)</t>
  </si>
  <si>
    <t xml:space="preserve">Modes</t>
  </si>
  <si>
    <t xml:space="preserve">Watch Mode (AI vs AI); Practice Mode (Human vs AI, with Ask AI Coach)</t>
  </si>
  <si>
    <t xml:space="preserve">Scenarios</t>
  </si>
  <si>
    <t xml:space="preserve">Vendor Pricing Negotiation; Job Offer Negotiation; Project Budget Allocation</t>
  </si>
  <si>
    <t xml:space="preserve">Core Modules</t>
  </si>
  <si>
    <t xml:space="preserve">Scenario &amp; Agent Configuration; Orchestrator; LLM Reasoning; Counteroffer Evaluation; Deadlock Detection; Negotiation Arena; Practice Mode; Outcome Report</t>
  </si>
  <si>
    <t xml:space="preserve">Live Frontend</t>
  </si>
  <si>
    <t xml:space="preserve">https://adarshmichael.github.io/ai-multi-agent-negotiation/index.html</t>
  </si>
  <si>
    <t xml:space="preserve">Live Backend</t>
  </si>
  <si>
    <t xml:space="preserve">https://negosim-backend.onrender.com/</t>
  </si>
  <si>
    <t xml:space="preserve">Extended Features (beyond plan, confirmed live)</t>
  </si>
  <si>
    <t xml:space="preserve">Authentication (email/password + Google OAuth); AI Coach; Analytics dashboard; Custom Scenario Builder; History page — see Product Backlog EPIC-07</t>
  </si>
  <si>
    <t xml:space="preserve">Planned Sprint</t>
  </si>
  <si>
    <t xml:space="preserve">Epic</t>
  </si>
  <si>
    <t xml:space="preserve">US ID</t>
  </si>
  <si>
    <t xml:space="preserve">Story ID</t>
  </si>
  <si>
    <t xml:space="preserve">User Story Description</t>
  </si>
  <si>
    <t xml:space="preserve">MoSCoW</t>
  </si>
  <si>
    <t xml:space="preserve">SP</t>
  </si>
  <si>
    <t xml:space="preserve">Dependency</t>
  </si>
  <si>
    <t xml:space="preserve">Assignee</t>
  </si>
  <si>
    <t xml:space="preserve">Status</t>
  </si>
  <si>
    <t xml:space="preserve">EPIC-01</t>
  </si>
  <si>
    <t xml:space="preserve">US1</t>
  </si>
  <si>
    <t xml:space="preserve">US-DES-01</t>
  </si>
  <si>
    <t xml:space="preserve">As a team, we want to design the basic negotiation system workflow and agent personas so that we understand the core concept before implementation.</t>
  </si>
  <si>
    <t xml:space="preserve">Must Have</t>
  </si>
  <si>
    <t xml:space="preserve">-</t>
  </si>
  <si>
    <t xml:space="preserve">Done</t>
  </si>
  <si>
    <t xml:space="preserve">EPIC-02</t>
  </si>
  <si>
    <t xml:space="preserve">US2</t>
  </si>
  <si>
    <t xml:space="preserve">US-CFG-01</t>
  </si>
  <si>
    <t xml:space="preserve">As a team, we want to finalize agent personas and complete the Agent Configuration UI so that scenarios automatically load their agents.</t>
  </si>
  <si>
    <t xml:space="preserve">EPIC-03</t>
  </si>
  <si>
    <t xml:space="preserve">US3</t>
  </si>
  <si>
    <t xml:space="preserve">US-CORE-01</t>
  </si>
  <si>
    <t xml:space="preserve">As a team, we want to build the negotiation state model, offer structure, decision logic, concession tracking and orchestrator interface so the negotiation engine has a strong foundation.</t>
  </si>
  <si>
    <t xml:space="preserve">EPIC-06</t>
  </si>
  <si>
    <t xml:space="preserve">US4</t>
  </si>
  <si>
    <t xml:space="preserve">US-DOC-01</t>
  </si>
  <si>
    <t xml:space="preserve">As a team, we want to add the MIT License and maintain Agile documentation in our GitHub repository so the project meets submission requirements.</t>
  </si>
  <si>
    <t xml:space="preserve">Should Have</t>
  </si>
  <si>
    <t xml:space="preserve">EPIC-04</t>
  </si>
  <si>
    <t xml:space="preserve">US5</t>
  </si>
  <si>
    <t xml:space="preserve">US-LLM-01</t>
  </si>
  <si>
    <t xml:space="preserve">As a user, I want AI agents to use an LLM (Gemini) reasoning engine so that offers and responses are generated from persona, goals and full negotiation history.</t>
  </si>
  <si>
    <t xml:space="preserve">TBD</t>
  </si>
  <si>
    <t xml:space="preserve">US6</t>
  </si>
  <si>
    <t xml:space="preserve">US-LLM-02</t>
  </si>
  <si>
    <t xml:space="preserve">As a user, I want to see each agent's internal reasoning and extracted parameters on its stat card so the negotiation feels transparent.</t>
  </si>
  <si>
    <t xml:space="preserve">US7</t>
  </si>
  <si>
    <t xml:space="preserve">US-LLM-03</t>
  </si>
  <si>
    <t xml:space="preserve">As a developer, I want a rule-based mock engine fallback so the UI can be tested deterministically without a live API key.</t>
  </si>
  <si>
    <t xml:space="preserve">US8</t>
  </si>
  <si>
    <t xml:space="preserve">US-LLM-04</t>
  </si>
  <si>
    <t xml:space="preserve">As a developer, I want the AI-vs-AI negotiation loop tested end-to-end across all three scenario templates.</t>
  </si>
  <si>
    <t xml:space="preserve">US-LLM-05</t>
  </si>
  <si>
    <t xml:space="preserve">As a user, I want agents to evaluate offers, decide Accept/Counter/Reject, generate counteroffers within their constraints and track concessions, LLM-integrated.</t>
  </si>
  <si>
    <t xml:space="preserve">EPIC-05</t>
  </si>
  <si>
    <t xml:space="preserve">US9</t>
  </si>
  <si>
    <t xml:space="preserve">US-ARENA-01</t>
  </si>
  <si>
    <t xml:space="preserve">As a user, I want to see the negotiation as a live, chat-style transcript with round-by-round updates.</t>
  </si>
  <si>
    <t xml:space="preserve">US10</t>
  </si>
  <si>
    <t xml:space="preserve">US-ARENA-02</t>
  </si>
  <si>
    <t xml:space="preserve">As a user, I want to see live agent stance indicators and round metrics while a negotiation runs.</t>
  </si>
  <si>
    <t xml:space="preserve">Medium</t>
  </si>
  <si>
    <t xml:space="preserve">US11</t>
  </si>
  <si>
    <t xml:space="preserve">US-PRAC-01</t>
  </si>
  <si>
    <t xml:space="preserve">As a user, I want to negotiate directly against AI agents in Practice Mode by typing my own offers.</t>
  </si>
  <si>
    <t xml:space="preserve">US12</t>
  </si>
  <si>
    <t xml:space="preserve">US-DLK-01</t>
  </si>
  <si>
    <t xml:space="preserve">As a user, I want stalled negotiations to be detected after N rounds and either resolved or ended.</t>
  </si>
  <si>
    <t xml:space="preserve">US13</t>
  </si>
  <si>
    <t xml:space="preserve">US-OUT-01</t>
  </si>
  <si>
    <t xml:space="preserve">As a user, I want a final outcome screen showing agreement terms, concession timeline and per-agent objective satisfaction.</t>
  </si>
  <si>
    <t xml:space="preserve">US9,US11</t>
  </si>
  <si>
    <t xml:space="preserve">US14</t>
  </si>
  <si>
    <t xml:space="preserve">US-OUT-02</t>
  </si>
  <si>
    <t xml:space="preserve">As a user, I want to download the negotiation transcript and a structured summary report.</t>
  </si>
  <si>
    <t xml:space="preserve">US15</t>
  </si>
  <si>
    <t xml:space="preserve">US-QA-01</t>
  </si>
  <si>
    <t xml:space="preserve">As a developer, I want end-to-end testing across both modes, all scenarios and all personality combinations.</t>
  </si>
  <si>
    <t xml:space="preserve">US16</t>
  </si>
  <si>
    <t xml:space="preserve">US-DOC-02</t>
  </si>
  <si>
    <t xml:space="preserve">As a team, we want complete technical documentation and a final demonstration prepared.</t>
  </si>
  <si>
    <t xml:space="preserve">Backlog Progress</t>
  </si>
  <si>
    <t xml:space="preserve">Done:</t>
  </si>
  <si>
    <t xml:space="preserve">Total SP</t>
  </si>
  <si>
    <t xml:space="preserve">SP Completed (Done)</t>
  </si>
  <si>
    <t xml:space="preserve">Epic rollup and sprint velocity — mirrors docs-agile/README.md</t>
  </si>
  <si>
    <t xml:space="preserve">Theme</t>
  </si>
  <si>
    <t xml:space="preserve">Sprint</t>
  </si>
  <si>
    <t xml:space="preserve">Requirements &amp; System Design</t>
  </si>
  <si>
    <t xml:space="preserve">Scenario &amp; Agent Configuration</t>
  </si>
  <si>
    <t xml:space="preserve">Negotiation Core &amp; State Management</t>
  </si>
  <si>
    <t xml:space="preserve">LLM Reasoning &amp; AI-vs-AI Engine</t>
  </si>
  <si>
    <t xml:space="preserve">Negotiation Arena, Practice Mode &amp; Deadlocks</t>
  </si>
  <si>
    <t xml:space="preserve">Outcome Reporting, QA &amp; Documentation</t>
  </si>
  <si>
    <t xml:space="preserve">1 &amp; 4</t>
  </si>
  <si>
    <t xml:space="preserve">Total Planned SP</t>
  </si>
  <si>
    <t xml:space="preserve">Sprint Velocity Summary</t>
  </si>
  <si>
    <t xml:space="preserve">Weeks</t>
  </si>
  <si>
    <t xml:space="preserve">SP Committed</t>
  </si>
  <si>
    <t xml:space="preserve">SP Completed</t>
  </si>
  <si>
    <t xml:space="preserve">Completion %</t>
  </si>
  <si>
    <t xml:space="preserve">Sprint 1</t>
  </si>
  <si>
    <t xml:space="preserve">Wk 1-2</t>
  </si>
  <si>
    <t xml:space="preserve">Sprint 2</t>
  </si>
  <si>
    <t xml:space="preserve">Wk 3-4 (est.)</t>
  </si>
  <si>
    <t xml:space="preserve">Sprint 3</t>
  </si>
  <si>
    <t xml:space="preserve">Wk 5-6</t>
  </si>
  <si>
    <t xml:space="preserve">Sprint 4</t>
  </si>
  <si>
    <t xml:space="preserve">Wk 7-8</t>
  </si>
  <si>
    <t xml:space="preserve">TOTAL</t>
  </si>
  <si>
    <t xml:space="preserve">EPIC-07 — features confirmed live (13-Oct-2026) beyond the original 123 SP plan; not counted in core totals</t>
  </si>
  <si>
    <t xml:space="preserve">Feature</t>
  </si>
  <si>
    <t xml:space="preserve">Description</t>
  </si>
  <si>
    <t xml:space="preserve">US-EXT-01</t>
  </si>
  <si>
    <t xml:space="preserve">Authentication</t>
  </si>
  <si>
    <t xml:space="preserve">Email/password Sign In and Create Account, plus Google OAuth, gating the app behind a Welcome screen.</t>
  </si>
  <si>
    <t xml:space="preserve">Done — confirmed live</t>
  </si>
  <si>
    <t xml:space="preserve">US-EXT-02</t>
  </si>
  <si>
    <t xml:space="preserve">AI Coach</t>
  </si>
  <si>
    <t xml:space="preserve">In-negotiation coaching button offering a limited number of hints per session during Practice Mode.</t>
  </si>
  <si>
    <t xml:space="preserve">US-EXT-03</t>
  </si>
  <si>
    <t xml:space="preserve">Analytics Dashboard</t>
  </si>
  <si>
    <t xml:space="preserve">Total Negotiations, Agreement Rate, Avg Rounds, Avg Score, plus 4 charts (Outcomes Over Time, Avg Score per Scenario, Avg Concession per Round, Agreement Rate by Personality).</t>
  </si>
  <si>
    <t xml:space="preserve">US-EXT-04</t>
  </si>
  <si>
    <t xml:space="preserve">Custom Scenario Builder</t>
  </si>
  <si>
    <t xml:space="preserve">Build Scenario section for creating custom negotiation scenarios with user-defined agents, goals and constraints.</t>
  </si>
  <si>
    <t xml:space="preserve">Done — confirmed live (UI present, no custom scenarios created in screenshots)</t>
  </si>
  <si>
    <t xml:space="preserve">US-EXT-05</t>
  </si>
  <si>
    <t xml:space="preserve">History</t>
  </si>
  <si>
    <t xml:space="preserve">Dedicated History page for past negotiations.</t>
  </si>
  <si>
    <t xml:space="preserve">Done — confirmed live (nav item present, content not captured)</t>
  </si>
  <si>
    <t xml:space="preserve">NOTES: Task sizing should be between 0.5 and 12 hours. Add a new SPRINT block for each sprint.</t>
  </si>
  <si>
    <t xml:space="preserve">Task ID</t>
  </si>
  <si>
    <t xml:space="preserve">Task Description</t>
  </si>
  <si>
    <t xml:space="preserve">Start Date/Time</t>
  </si>
  <si>
    <t xml:space="preserve">Completion Date/Time</t>
  </si>
  <si>
    <t xml:space="preserve">Team Member</t>
  </si>
  <si>
    <t xml:space="preserve">Activity</t>
  </si>
  <si>
    <t xml:space="preserve">Estimate (Hrs)</t>
  </si>
  <si>
    <t xml:space="preserve">SPRINT 1 BACKLOG</t>
  </si>
  <si>
    <t xml:space="preserve">T1</t>
  </si>
  <si>
    <t xml:space="preserve">Understand multi-agent negotiation concept, AI agent role, Simulation vs Practice mode</t>
  </si>
  <si>
    <t xml:space="preserve">2026-08-21 10:00</t>
  </si>
  <si>
    <t xml:space="preserve">2026-08-21 11:00</t>
  </si>
  <si>
    <t xml:space="preserve">Research</t>
  </si>
  <si>
    <t xml:space="preserve">Completed</t>
  </si>
  <si>
    <t xml:space="preserve">T2</t>
  </si>
  <si>
    <t xml:space="preserve">Design basic system workflow diagram (Scenario Selection to Outcome Report)</t>
  </si>
  <si>
    <t xml:space="preserve">2026-08-21 12:30</t>
  </si>
  <si>
    <t xml:space="preserve">Adarsh</t>
  </si>
  <si>
    <t xml:space="preserve">Design</t>
  </si>
  <si>
    <t xml:space="preserve">T3</t>
  </si>
  <si>
    <t xml:space="preserve">Define agent personas (Role, Goal, Constraint, Personality) for at least 2 agents</t>
  </si>
  <si>
    <t xml:space="preserve">2026-08-21 14:00</t>
  </si>
  <si>
    <t xml:space="preserve">Anusha</t>
  </si>
  <si>
    <t xml:space="preserve">T4</t>
  </si>
  <si>
    <t xml:space="preserve">Select negotiation scenario and define the two negotiating parties' objectives</t>
  </si>
  <si>
    <t xml:space="preserve">2026-08-21 15:00</t>
  </si>
  <si>
    <t xml:space="preserve">T5</t>
  </si>
  <si>
    <t xml:space="preserve">Prepare basic Agent Configuration UI wireframe</t>
  </si>
  <si>
    <t xml:space="preserve">2026-08-21 17:00</t>
  </si>
  <si>
    <t xml:space="preserve">T6</t>
  </si>
  <si>
    <t xml:space="preserve">Finalize agent personas (role, goal, constraint, personality) for all 3 scenarios</t>
  </si>
  <si>
    <t xml:space="preserve">2026-08-25 10:00</t>
  </si>
  <si>
    <t xml:space="preserve">2026-08-25 12:00</t>
  </si>
  <si>
    <t xml:space="preserve">T7</t>
  </si>
  <si>
    <t xml:space="preserve">Complete Agent Configuration UI - display each agent as a role card</t>
  </si>
  <si>
    <t xml:space="preserve">2026-08-25 15:00</t>
  </si>
  <si>
    <t xml:space="preserve">Development</t>
  </si>
  <si>
    <t xml:space="preserve">T8</t>
  </si>
  <si>
    <t xml:space="preserve">Connect scenario selection so it auto-loads predefined agents, roles, goals, constraints</t>
  </si>
  <si>
    <t xml:space="preserve">2026-08-25 17:00</t>
  </si>
  <si>
    <t xml:space="preserve">T9</t>
  </si>
  <si>
    <t xml:space="preserve">Finalize system architecture diagram (User to Outcome Report flow)</t>
  </si>
  <si>
    <t xml:space="preserve">2026-08-25 18:30</t>
  </si>
  <si>
    <t xml:space="preserve">T10</t>
  </si>
  <si>
    <t xml:space="preserve">Push completed implementation to GitHub with identifiable contributions</t>
  </si>
  <si>
    <t xml:space="preserve">2026-08-25 19:30</t>
  </si>
  <si>
    <t xml:space="preserve">GitHub</t>
  </si>
  <si>
    <t xml:space="preserve">T11</t>
  </si>
  <si>
    <t xml:space="preserve">Create Negotiation State Model (scenario, round, turn, offers, status, goals, constraints, personality)</t>
  </si>
  <si>
    <t xml:space="preserve">2026-08-31 10:00</t>
  </si>
  <si>
    <t xml:space="preserve">2026-08-31 12:00</t>
  </si>
  <si>
    <t xml:space="preserve">T12</t>
  </si>
  <si>
    <t xml:space="preserve">Define standard Offer Structure (value/terms, agent, round, reason, timestamp)</t>
  </si>
  <si>
    <t xml:space="preserve">2026-08-31 13:00</t>
  </si>
  <si>
    <t xml:space="preserve">T13</t>
  </si>
  <si>
    <t xml:space="preserve">Implement rule-based Accept / Reject / Counteroffer decision logic</t>
  </si>
  <si>
    <t xml:space="preserve">2026-08-31 15:30</t>
  </si>
  <si>
    <t xml:space="preserve">T14</t>
  </si>
  <si>
    <t xml:space="preserve">Implement concession tracking across negotiation rounds</t>
  </si>
  <si>
    <t xml:space="preserve">2026-08-31 17:00</t>
  </si>
  <si>
    <t xml:space="preserve">T15</t>
  </si>
  <si>
    <t xml:space="preserve">Prepare basic Orchestrator interface (turn, round, history, state, next agent)</t>
  </si>
  <si>
    <t xml:space="preserve">2026-08-31 19:00</t>
  </si>
  <si>
    <t xml:space="preserve">T16</t>
  </si>
  <si>
    <t xml:space="preserve">Connect existing Scenario/Agent Configuration UI to Negotiation State</t>
  </si>
  <si>
    <t xml:space="preserve">2026-08-31 20:30</t>
  </si>
  <si>
    <t xml:space="preserve">T17</t>
  </si>
  <si>
    <t xml:space="preserve">Push Milestone 1 negotiation engine foundation to GitHub</t>
  </si>
  <si>
    <t xml:space="preserve">2026-08-31 21:30</t>
  </si>
  <si>
    <t xml:space="preserve">T18</t>
  </si>
  <si>
    <t xml:space="preserve">Add MIT License to the team's GitHub repository</t>
  </si>
  <si>
    <t xml:space="preserve">2026-08-31 22:00</t>
  </si>
  <si>
    <t xml:space="preserve">Documentation</t>
  </si>
  <si>
    <t xml:space="preserve">T19</t>
  </si>
  <si>
    <t xml:space="preserve">Prepare Agile documentation in repository as per reference Google Drive folder</t>
  </si>
  <si>
    <t xml:space="preserve">2026-09-01 10:00</t>
  </si>
  <si>
    <t xml:space="preserve">2026-09-01 12:00</t>
  </si>
  <si>
    <t xml:space="preserve">SPRINT 2 BACKLOG</t>
  </si>
  <si>
    <t xml:space="preserve">T20</t>
  </si>
  <si>
    <t xml:space="preserve">Build NegotiationEngine.js orchestrator loop (turn order, history, state, round count)</t>
  </si>
  <si>
    <t xml:space="preserve">2026-09-07 10:00</t>
  </si>
  <si>
    <t xml:space="preserve">2026-09-07 12:30</t>
  </si>
  <si>
    <t xml:space="preserve">T21</t>
  </si>
  <si>
    <t xml:space="preserve">Integrate Google Gemini LLM Decision Provider with agent persona/goals/constraints</t>
  </si>
  <si>
    <t xml:space="preserve">2026-09-14 10:00</t>
  </si>
  <si>
    <t xml:space="preserve">2026-09-14 12:30</t>
  </si>
  <si>
    <t xml:space="preserve">T22</t>
  </si>
  <si>
    <t xml:space="preserve">Define structured JSON response schema (decision, offer, message, reasoning, parameters)</t>
  </si>
  <si>
    <t xml:space="preserve">2026-09-14 13:30</t>
  </si>
  <si>
    <t xml:space="preserve">T23</t>
  </si>
  <si>
    <t xml:space="preserve">Surface agent REASONING and PARAMETERS on live stat cards in the UI</t>
  </si>
  <si>
    <t xml:space="preserve">2026-09-14 15:00</t>
  </si>
  <si>
    <t xml:space="preserve">T24</t>
  </si>
  <si>
    <t xml:space="preserve">Build rule-based mock engine fallback for deterministic testing without an API key</t>
  </si>
  <si>
    <t xml:space="preserve">2026-09-07 13:30</t>
  </si>
  <si>
    <t xml:space="preserve">T25</t>
  </si>
  <si>
    <t xml:space="preserve">Run and confirm AI-vs-AI negotiation loop across all 3 scenario templates</t>
  </si>
  <si>
    <t xml:space="preserve">Testing</t>
  </si>
  <si>
    <t xml:space="preserve">T26</t>
  </si>
  <si>
    <t xml:space="preserve">Implement offer evaluation, Accept/Counter/Reject decision logic, counteroffer generation and concession tracking (LLM-integrated) — confirmed as a distinct Sprint 2 task per mentor brief</t>
  </si>
  <si>
    <t xml:space="preserve">2026-09-14 16:00</t>
  </si>
  <si>
    <t xml:space="preserve">SPRINT 3 BACKLOG</t>
  </si>
  <si>
    <t xml:space="preserve">T27</t>
  </si>
  <si>
    <t xml:space="preserve">Build Chat tab (round-grouped live transcript) + Reasoning tab (Orchestrator Pipeline, M1-M5 steps, negotiation state panel)</t>
  </si>
  <si>
    <t xml:space="preserve">2026-09-21 10:00</t>
  </si>
  <si>
    <t xml:space="preserve">T28</t>
  </si>
  <si>
    <t xml:space="preserve">Add round/turn metrics and 'Context Evaluated by LLM' checklist to the Reasoning tab</t>
  </si>
  <si>
    <t xml:space="preserve">2026-09-21 13:00</t>
  </si>
  <si>
    <t xml:space="preserve">T29</t>
  </si>
  <si>
    <t xml:space="preserve">Build Practice Mode 'Your Turn' panel (opponent offer, message box, offer field w/ minimum shown, Send/Accept/Reject) + Ask AI Coach button</t>
  </si>
  <si>
    <t xml:space="preserve">2026-09-28 10:00</t>
  </si>
  <si>
    <t xml:space="preserve">T30</t>
  </si>
  <si>
    <t xml:space="preserve">Implement deadlock handling via configurable Maximum Rounds (set at Summary step, default 10)</t>
  </si>
  <si>
    <t xml:space="preserve">2026-09-28 13:00</t>
  </si>
  <si>
    <t xml:space="preserve">T31</t>
  </si>
  <si>
    <t xml:space="preserve">Validate Practice Mode across all 3 scenarios</t>
  </si>
  <si>
    <t xml:space="preserve">2026-09-28 15:00</t>
  </si>
  <si>
    <t xml:space="preserve">SPRINT 4 BACKLOG</t>
  </si>
  <si>
    <t xml:space="preserve">T32</t>
  </si>
  <si>
    <t xml:space="preserve">Build Outcome screen (agreement terms, concession timeline, round count, per-agent score, Practice Mode coaching feedback) - not directly captured in available screenshots, inferred from Analytics dashboard</t>
  </si>
  <si>
    <t xml:space="preserve">2026-10-05 10:00</t>
  </si>
  <si>
    <t xml:space="preserve">T33</t>
  </si>
  <si>
    <t xml:space="preserve">Implement downloadable transcript and structured summary report</t>
  </si>
  <si>
    <t xml:space="preserve">2026-10-05 13:00</t>
  </si>
  <si>
    <t xml:space="preserve">T34</t>
  </si>
  <si>
    <t xml:space="preserve">Run end-to-end tests: both modes x 3 scenarios x personality combinations</t>
  </si>
  <si>
    <t xml:space="preserve">2026-10-12 10:00</t>
  </si>
  <si>
    <t xml:space="preserve">T35</t>
  </si>
  <si>
    <t xml:space="preserve">Prepare technical documentation, project report and final demonstration</t>
  </si>
  <si>
    <t xml:space="preserve">2026-10-12 13:00</t>
  </si>
  <si>
    <t xml:space="preserve">Daily / per-session standup — add one row per team member per check-in</t>
  </si>
  <si>
    <t xml:space="preserve">Date</t>
  </si>
  <si>
    <t xml:space="preserve">Yesterday / Since Last Update</t>
  </si>
  <si>
    <t xml:space="preserve">Today / Next</t>
  </si>
  <si>
    <t xml:space="preserve">Impediments</t>
  </si>
  <si>
    <t xml:space="preserve">19-Aug-2026</t>
  </si>
  <si>
    <t xml:space="preserve">Kicked off project research</t>
  </si>
  <si>
    <t xml:space="preserve">Design system workflow diagram</t>
  </si>
  <si>
    <t xml:space="preserve">None</t>
  </si>
  <si>
    <t xml:space="preserve">10-Sep-2026</t>
  </si>
  <si>
    <t xml:space="preserve">Cross-checked repo README against the full narrative Agile doc — structures match, no conflicts</t>
  </si>
  <si>
    <t xml:space="preserve">Waiting on next commit (Arena transcript UI / Practice Mode / deadlock detection) before moving board items</t>
  </si>
  <si>
    <t xml:space="preserve">None — repo unchanged since 09-Sep check-in</t>
  </si>
  <si>
    <t xml:space="preserve">11-Sep-2026</t>
  </si>
  <si>
    <t xml:space="preserve">Cross-checked mentor day-by-day task assignments (Milestone 1 Fri/Wed/Tue/Mon briefs + Milestone 2 orchestrator/LLM/offer-eval briefs) against Sprint Backlog — all map cleanly, added T26 for the offer-evaluation/counteroffer task</t>
  </si>
  <si>
    <t xml:space="preserve">Waiting on next commit for Sprint 2 close-out or Sprint 3 start</t>
  </si>
  <si>
    <t xml:space="preserve">None — repo unchanged since 10-Sep check-in</t>
  </si>
  <si>
    <t xml:space="preserve">17-Sep-2026</t>
  </si>
  <si>
    <t xml:space="preserve">Filled in Sprint 2 task dates (T20-T26) using the weekly-Monday cadence inferred from the mentor briefs (Sept 7 / 14 / 21) — flagged as estimates pending team confirmation</t>
  </si>
  <si>
    <t xml:space="preserve">Team to confirm/correct actual dates and owners for T20-T26; repo still unchanged</t>
  </si>
  <si>
    <t xml:space="preserve">02-Oct-2026</t>
  </si>
  <si>
    <t xml:space="preserve">Mentor shared a reference repo showing story-point-based epics and velocity tracking; realigned our docs to that format</t>
  </si>
  <si>
    <t xml:space="preserve">Added Epic/Story ID/SP columns to Product Backlog, new Epics &amp; Velocity sheet (123 SP total, 47 completed), and US8a for the offer-evaluation story</t>
  </si>
  <si>
    <t xml:space="preserve">None — repo unchanged</t>
  </si>
  <si>
    <t xml:space="preserve">09-Oct-2026</t>
  </si>
  <si>
    <t xml:space="preserve">Sprints 3 and 4 delivered — Negotiation Arena, Practice Mode, deadlock detection, outcome reporting, end-to-end testing and final docs all complete</t>
  </si>
  <si>
    <t xml:space="preserve">Marked the full Agile documentation suite (docs-agile, this tracker, markdown doc) as project-complete: 123/123 SP, all epics Done</t>
  </si>
  <si>
    <t xml:space="preserve">Repo README still shows Milestone 1-2 "Known Limitations" - needs updating before final submission</t>
  </si>
  <si>
    <t xml:space="preserve">13-Oct-2026</t>
  </si>
  <si>
    <t xml:space="preserve">Confirmed internship ran 19-Aug to 13-Oct-2026; received 11 screenshots of the live deployed app (frontend + backend)</t>
  </si>
  <si>
    <t xml:space="preserve">Corrected all Sprint 2-4 estimated dates to fit the real 19-Aug-13-Oct window; replaced planned-scope descriptions with confirmed live UI details (Orchestrator Pipeline view, Your Turn panel, 7 personality types, Max Rounds/AI Provider settings); added new Extended Features sheet for 5 confirmed features beyond the original plan (Auth, AI Coach, Analytics, Custom Scenarios, History)</t>
  </si>
  <si>
    <t xml:space="preserve">Outcome screen, downloadable report and E2E test results not directly captured in screenshots</t>
  </si>
  <si>
    <t xml:space="preserve">Bug ID</t>
  </si>
  <si>
    <t xml:space="preserve">Date Found</t>
  </si>
  <si>
    <t xml:space="preserve">Severity</t>
  </si>
  <si>
    <t xml:space="preserve">Assigned To</t>
  </si>
  <si>
    <t xml:space="preserve">Resolution / Remarks</t>
  </si>
  <si>
    <t xml:space="preserve">BUG-01</t>
  </si>
  <si>
    <t xml:space="preserve">Open</t>
  </si>
  <si>
    <t xml:space="preserve">BUG-02</t>
  </si>
  <si>
    <t xml:space="preserve">BUG-03</t>
  </si>
  <si>
    <t xml:space="preserve">BUG-04</t>
  </si>
  <si>
    <t xml:space="preserve">BUG-05</t>
  </si>
  <si>
    <t xml:space="preserve">BUG-06</t>
  </si>
  <si>
    <t xml:space="preserve">BUG-07</t>
  </si>
  <si>
    <t xml:space="preserve">BUG-08</t>
  </si>
  <si>
    <t xml:space="preserve">BUG-09</t>
  </si>
  <si>
    <t xml:space="preserve">BUG-10</t>
  </si>
  <si>
    <t xml:space="preserve">Sprint Start Date</t>
  </si>
  <si>
    <t xml:space="preserve">Sprint End Date</t>
  </si>
  <si>
    <t xml:space="preserve">Start Doing</t>
  </si>
  <si>
    <t xml:space="preserve">Stop Doing</t>
  </si>
  <si>
    <t xml:space="preserve">Continue Doing</t>
  </si>
  <si>
    <t xml:space="preserve">Action Taken</t>
  </si>
  <si>
    <t xml:space="preserve">Checklist Item</t>
  </si>
  <si>
    <t xml:space="preserve">Done?</t>
  </si>
  <si>
    <t xml:space="preserve">Requirement implemented</t>
  </si>
  <si>
    <t xml:space="preserve">Yes</t>
  </si>
  <si>
    <t xml:space="preserve">Code integrated to main branch</t>
  </si>
  <si>
    <t xml:space="preserve">Feature tested (manual or automated)</t>
  </si>
  <si>
    <t xml:space="preserve">Acceptance criteria satisfied</t>
  </si>
  <si>
    <t xml:space="preserve">Known bugs fixed or documented in Bug Tracker</t>
  </si>
  <si>
    <t xml:space="preserve">Relevant scenario(s) tested (Vendor Pricing / Job Offer / Project Budget)</t>
  </si>
  <si>
    <t xml:space="preserve">Documentation updated (README / docs folder / Agile tracker)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</si>
</sst>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2"/>
    </font>
    <font>
      <i val="true"/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  <col collapsed="false" customWidth="true" hidden="false" outlineLevel="0" max="3" min="3" style="1" width="20"/>
  </cols>
  <sheetData>
    <row r="1" customFormat="false" ht="17.2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5" t="s">
        <v>3</v>
      </c>
      <c r="C4" s="5"/>
    </row>
    <row r="5" customFormat="false" ht="15" hidden="false" customHeight="true" outlineLevel="0" collapsed="false">
      <c r="A5" s="4" t="s">
        <v>4</v>
      </c>
      <c r="B5" s="5" t="s">
        <v>5</v>
      </c>
      <c r="C5" s="5"/>
    </row>
    <row r="6" customFormat="false" ht="15" hidden="false" customHeight="true" outlineLevel="0" collapsed="false">
      <c r="A6" s="4" t="s">
        <v>6</v>
      </c>
      <c r="B6" s="5" t="s">
        <v>7</v>
      </c>
      <c r="C6" s="5"/>
    </row>
    <row r="7" customFormat="false" ht="15" hidden="false" customHeight="true" outlineLevel="0" collapsed="false">
      <c r="A7" s="4" t="s">
        <v>8</v>
      </c>
      <c r="B7" s="5" t="s">
        <v>9</v>
      </c>
      <c r="C7" s="5"/>
    </row>
    <row r="8" customFormat="false" ht="15" hidden="false" customHeight="true" outlineLevel="0" collapsed="false">
      <c r="A8" s="4" t="s">
        <v>10</v>
      </c>
      <c r="B8" s="5" t="s">
        <v>11</v>
      </c>
      <c r="C8" s="5"/>
    </row>
    <row r="9" customFormat="false" ht="15" hidden="false" customHeight="true" outlineLevel="0" collapsed="false">
      <c r="A9" s="4" t="s">
        <v>12</v>
      </c>
      <c r="B9" s="5" t="s">
        <v>13</v>
      </c>
      <c r="C9" s="5"/>
    </row>
    <row r="10" customFormat="false" ht="15" hidden="false" customHeight="true" outlineLevel="0" collapsed="false">
      <c r="A10" s="4" t="s">
        <v>14</v>
      </c>
      <c r="B10" s="5" t="s">
        <v>15</v>
      </c>
      <c r="C10" s="5"/>
    </row>
    <row r="11" customFormat="false" ht="15" hidden="false" customHeight="true" outlineLevel="0" collapsed="false">
      <c r="A11" s="4" t="s">
        <v>16</v>
      </c>
      <c r="B11" s="5" t="s">
        <v>17</v>
      </c>
      <c r="C11" s="5"/>
    </row>
    <row r="12" customFormat="false" ht="15" hidden="false" customHeight="true" outlineLevel="0" collapsed="false">
      <c r="A12" s="4" t="s">
        <v>18</v>
      </c>
      <c r="B12" s="5" t="s">
        <v>19</v>
      </c>
      <c r="C12" s="5"/>
    </row>
    <row r="13" customFormat="false" ht="15" hidden="false" customHeight="true" outlineLevel="0" collapsed="false">
      <c r="A13" s="4" t="s">
        <v>20</v>
      </c>
      <c r="B13" s="5" t="s">
        <v>21</v>
      </c>
      <c r="C13" s="5"/>
    </row>
    <row r="14" customFormat="false" ht="15" hidden="false" customHeight="true" outlineLevel="0" collapsed="false">
      <c r="A14" s="4" t="s">
        <v>22</v>
      </c>
      <c r="B14" s="5" t="s">
        <v>23</v>
      </c>
      <c r="C14" s="5"/>
    </row>
    <row r="15" customFormat="false" ht="23.25" hidden="false" customHeight="true" outlineLevel="0" collapsed="false">
      <c r="A15" s="4" t="s">
        <v>24</v>
      </c>
      <c r="B15" s="5" t="s">
        <v>25</v>
      </c>
      <c r="C15" s="5"/>
    </row>
    <row r="17" customFormat="false" ht="15" hidden="false" customHeight="true" outlineLevel="0" collapsed="false">
      <c r="A17" s="6" t="s">
        <v>26</v>
      </c>
      <c r="B17" s="7" t="s">
        <v>27</v>
      </c>
      <c r="C17" s="7"/>
    </row>
    <row r="18" customFormat="false" ht="15" hidden="false" customHeight="true" outlineLevel="0" collapsed="false">
      <c r="A18" s="6" t="s">
        <v>28</v>
      </c>
      <c r="B18" s="7" t="s">
        <v>29</v>
      </c>
      <c r="C18" s="7"/>
    </row>
    <row r="19" customFormat="false" ht="23.85" hidden="false" customHeight="true" outlineLevel="0" collapsed="false">
      <c r="A19" s="6" t="s">
        <v>30</v>
      </c>
      <c r="B19" s="7" t="s">
        <v>31</v>
      </c>
      <c r="C19" s="7"/>
    </row>
  </sheetData>
  <mergeCells count="17">
    <mergeCell ref="A1:C1"/>
    <mergeCell ref="A2:C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6" min="4" style="1" width="12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3"/>
  </cols>
  <sheetData>
    <row r="1" customFormat="false" ht="26.25" hidden="false" customHeight="true" outlineLevel="0" collapsed="false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</row>
    <row r="2" customFormat="false" ht="34.5" hidden="false" customHeight="true" outlineLevel="0" collapsed="false">
      <c r="A2" s="9" t="n">
        <v>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9" t="n">
        <v>5</v>
      </c>
      <c r="H2" s="9" t="s">
        <v>47</v>
      </c>
      <c r="I2" s="9" t="s">
        <v>6</v>
      </c>
      <c r="J2" s="9" t="s">
        <v>48</v>
      </c>
    </row>
    <row r="3" customFormat="false" ht="23.25" hidden="false" customHeight="true" outlineLevel="0" collapsed="false">
      <c r="A3" s="9" t="n">
        <v>1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46</v>
      </c>
      <c r="G3" s="9" t="n">
        <v>8</v>
      </c>
      <c r="H3" s="9" t="s">
        <v>43</v>
      </c>
      <c r="I3" s="9" t="s">
        <v>6</v>
      </c>
      <c r="J3" s="9" t="s">
        <v>48</v>
      </c>
    </row>
    <row r="4" customFormat="false" ht="34.5" hidden="false" customHeight="true" outlineLevel="0" collapsed="false">
      <c r="A4" s="9" t="n">
        <v>1</v>
      </c>
      <c r="B4" s="9" t="s">
        <v>53</v>
      </c>
      <c r="C4" s="9" t="s">
        <v>54</v>
      </c>
      <c r="D4" s="9" t="s">
        <v>55</v>
      </c>
      <c r="E4" s="9" t="s">
        <v>56</v>
      </c>
      <c r="F4" s="9" t="s">
        <v>46</v>
      </c>
      <c r="G4" s="9" t="n">
        <v>13</v>
      </c>
      <c r="H4" s="9" t="s">
        <v>50</v>
      </c>
      <c r="I4" s="9" t="s">
        <v>6</v>
      </c>
      <c r="J4" s="9" t="s">
        <v>48</v>
      </c>
    </row>
    <row r="5" customFormat="false" ht="34.5" hidden="false" customHeight="true" outlineLevel="0" collapsed="false">
      <c r="A5" s="9" t="n">
        <v>1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  <c r="G5" s="9" t="n">
        <v>3</v>
      </c>
      <c r="H5" s="9" t="s">
        <v>54</v>
      </c>
      <c r="I5" s="9" t="s">
        <v>6</v>
      </c>
      <c r="J5" s="9" t="s">
        <v>48</v>
      </c>
    </row>
    <row r="6" customFormat="false" ht="34.5" hidden="false" customHeight="true" outlineLevel="0" collapsed="false">
      <c r="A6" s="9" t="n">
        <v>2</v>
      </c>
      <c r="B6" s="9" t="s">
        <v>62</v>
      </c>
      <c r="C6" s="9" t="s">
        <v>63</v>
      </c>
      <c r="D6" s="9" t="s">
        <v>64</v>
      </c>
      <c r="E6" s="9" t="s">
        <v>65</v>
      </c>
      <c r="F6" s="9" t="s">
        <v>46</v>
      </c>
      <c r="G6" s="9" t="n">
        <v>13</v>
      </c>
      <c r="H6" s="9" t="s">
        <v>54</v>
      </c>
      <c r="I6" s="9" t="s">
        <v>66</v>
      </c>
      <c r="J6" s="9" t="s">
        <v>48</v>
      </c>
    </row>
    <row r="7" customFormat="false" ht="23.25" hidden="false" customHeight="true" outlineLevel="0" collapsed="false">
      <c r="A7" s="9" t="n">
        <v>2</v>
      </c>
      <c r="B7" s="9" t="s">
        <v>62</v>
      </c>
      <c r="C7" s="9" t="s">
        <v>67</v>
      </c>
      <c r="D7" s="9" t="s">
        <v>68</v>
      </c>
      <c r="E7" s="9" t="s">
        <v>69</v>
      </c>
      <c r="F7" s="9" t="s">
        <v>61</v>
      </c>
      <c r="G7" s="9" t="n">
        <v>3</v>
      </c>
      <c r="H7" s="9" t="s">
        <v>63</v>
      </c>
      <c r="I7" s="9" t="s">
        <v>66</v>
      </c>
      <c r="J7" s="9" t="s">
        <v>48</v>
      </c>
    </row>
    <row r="8" customFormat="false" ht="23.25" hidden="false" customHeight="true" outlineLevel="0" collapsed="false">
      <c r="A8" s="9" t="n">
        <v>2</v>
      </c>
      <c r="B8" s="9" t="s">
        <v>62</v>
      </c>
      <c r="C8" s="9" t="s">
        <v>70</v>
      </c>
      <c r="D8" s="9" t="s">
        <v>71</v>
      </c>
      <c r="E8" s="9" t="s">
        <v>72</v>
      </c>
      <c r="F8" s="9" t="s">
        <v>61</v>
      </c>
      <c r="G8" s="9" t="n">
        <v>5</v>
      </c>
      <c r="H8" s="9" t="s">
        <v>63</v>
      </c>
      <c r="I8" s="9" t="s">
        <v>66</v>
      </c>
      <c r="J8" s="9" t="s">
        <v>48</v>
      </c>
    </row>
    <row r="9" customFormat="false" ht="23.25" hidden="false" customHeight="true" outlineLevel="0" collapsed="false">
      <c r="A9" s="9" t="n">
        <v>2</v>
      </c>
      <c r="B9" s="9" t="s">
        <v>62</v>
      </c>
      <c r="C9" s="9" t="s">
        <v>73</v>
      </c>
      <c r="D9" s="9" t="s">
        <v>74</v>
      </c>
      <c r="E9" s="9" t="s">
        <v>75</v>
      </c>
      <c r="F9" s="9" t="s">
        <v>46</v>
      </c>
      <c r="G9" s="9" t="n">
        <v>5</v>
      </c>
      <c r="H9" s="9" t="s">
        <v>63</v>
      </c>
      <c r="I9" s="9" t="s">
        <v>66</v>
      </c>
      <c r="J9" s="9" t="s">
        <v>48</v>
      </c>
    </row>
    <row r="10" customFormat="false" ht="23.25" hidden="false" customHeight="true" outlineLevel="0" collapsed="false">
      <c r="A10" s="9" t="n">
        <v>2</v>
      </c>
      <c r="B10" s="9" t="s">
        <v>62</v>
      </c>
      <c r="C10" s="9" t="s">
        <v>73</v>
      </c>
      <c r="D10" s="9" t="s">
        <v>76</v>
      </c>
      <c r="E10" s="9" t="s">
        <v>77</v>
      </c>
      <c r="F10" s="9" t="s">
        <v>46</v>
      </c>
      <c r="G10" s="9" t="n">
        <v>8</v>
      </c>
      <c r="H10" s="9" t="s">
        <v>63</v>
      </c>
      <c r="I10" s="9" t="s">
        <v>66</v>
      </c>
      <c r="J10" s="9" t="s">
        <v>48</v>
      </c>
    </row>
    <row r="11" customFormat="false" ht="23.25" hidden="false" customHeight="true" outlineLevel="0" collapsed="false">
      <c r="A11" s="9" t="n">
        <v>3</v>
      </c>
      <c r="B11" s="9" t="s">
        <v>78</v>
      </c>
      <c r="C11" s="9" t="s">
        <v>79</v>
      </c>
      <c r="D11" s="9" t="s">
        <v>80</v>
      </c>
      <c r="E11" s="9" t="s">
        <v>81</v>
      </c>
      <c r="F11" s="9" t="s">
        <v>46</v>
      </c>
      <c r="G11" s="9" t="n">
        <v>8</v>
      </c>
      <c r="H11" s="9" t="s">
        <v>63</v>
      </c>
      <c r="I11" s="9" t="s">
        <v>66</v>
      </c>
      <c r="J11" s="9" t="s">
        <v>48</v>
      </c>
    </row>
    <row r="12" customFormat="false" ht="23.25" hidden="false" customHeight="true" outlineLevel="0" collapsed="false">
      <c r="A12" s="9" t="n">
        <v>3</v>
      </c>
      <c r="B12" s="9" t="s">
        <v>78</v>
      </c>
      <c r="C12" s="9" t="s">
        <v>82</v>
      </c>
      <c r="D12" s="9" t="s">
        <v>83</v>
      </c>
      <c r="E12" s="9" t="s">
        <v>84</v>
      </c>
      <c r="F12" s="9" t="s">
        <v>85</v>
      </c>
      <c r="G12" s="9" t="n">
        <v>5</v>
      </c>
      <c r="H12" s="9" t="s">
        <v>79</v>
      </c>
      <c r="I12" s="9" t="s">
        <v>66</v>
      </c>
      <c r="J12" s="9" t="s">
        <v>48</v>
      </c>
    </row>
    <row r="13" customFormat="false" ht="23.25" hidden="false" customHeight="true" outlineLevel="0" collapsed="false">
      <c r="A13" s="9" t="n">
        <v>3</v>
      </c>
      <c r="B13" s="9" t="s">
        <v>78</v>
      </c>
      <c r="C13" s="9" t="s">
        <v>86</v>
      </c>
      <c r="D13" s="9" t="s">
        <v>87</v>
      </c>
      <c r="E13" s="9" t="s">
        <v>88</v>
      </c>
      <c r="F13" s="9" t="s">
        <v>46</v>
      </c>
      <c r="G13" s="9" t="n">
        <v>13</v>
      </c>
      <c r="H13" s="9" t="s">
        <v>63</v>
      </c>
      <c r="I13" s="9" t="s">
        <v>66</v>
      </c>
      <c r="J13" s="9" t="s">
        <v>48</v>
      </c>
    </row>
    <row r="14" customFormat="false" ht="23.25" hidden="false" customHeight="true" outlineLevel="0" collapsed="false">
      <c r="A14" s="9" t="n">
        <v>3</v>
      </c>
      <c r="B14" s="9" t="s">
        <v>78</v>
      </c>
      <c r="C14" s="9" t="s">
        <v>89</v>
      </c>
      <c r="D14" s="9" t="s">
        <v>90</v>
      </c>
      <c r="E14" s="9" t="s">
        <v>91</v>
      </c>
      <c r="F14" s="9" t="s">
        <v>85</v>
      </c>
      <c r="G14" s="9" t="n">
        <v>8</v>
      </c>
      <c r="H14" s="9" t="s">
        <v>79</v>
      </c>
      <c r="I14" s="9" t="s">
        <v>66</v>
      </c>
      <c r="J14" s="9" t="s">
        <v>48</v>
      </c>
    </row>
    <row r="15" customFormat="false" ht="23.25" hidden="false" customHeight="true" outlineLevel="0" collapsed="false">
      <c r="A15" s="9" t="n">
        <v>4</v>
      </c>
      <c r="B15" s="9" t="s">
        <v>57</v>
      </c>
      <c r="C15" s="9" t="s">
        <v>92</v>
      </c>
      <c r="D15" s="9" t="s">
        <v>93</v>
      </c>
      <c r="E15" s="9" t="s">
        <v>94</v>
      </c>
      <c r="F15" s="9" t="s">
        <v>46</v>
      </c>
      <c r="G15" s="9" t="n">
        <v>8</v>
      </c>
      <c r="H15" s="9" t="s">
        <v>95</v>
      </c>
      <c r="I15" s="9" t="s">
        <v>66</v>
      </c>
      <c r="J15" s="9" t="s">
        <v>48</v>
      </c>
    </row>
    <row r="16" customFormat="false" ht="23.25" hidden="false" customHeight="true" outlineLevel="0" collapsed="false">
      <c r="A16" s="9" t="n">
        <v>4</v>
      </c>
      <c r="B16" s="9" t="s">
        <v>57</v>
      </c>
      <c r="C16" s="9" t="s">
        <v>96</v>
      </c>
      <c r="D16" s="9" t="s">
        <v>97</v>
      </c>
      <c r="E16" s="9" t="s">
        <v>98</v>
      </c>
      <c r="F16" s="9" t="s">
        <v>61</v>
      </c>
      <c r="G16" s="9" t="n">
        <v>5</v>
      </c>
      <c r="H16" s="9" t="s">
        <v>92</v>
      </c>
      <c r="I16" s="9" t="s">
        <v>66</v>
      </c>
      <c r="J16" s="9" t="s">
        <v>48</v>
      </c>
    </row>
    <row r="17" customFormat="false" ht="23.25" hidden="false" customHeight="true" outlineLevel="0" collapsed="false">
      <c r="A17" s="9" t="n">
        <v>4</v>
      </c>
      <c r="B17" s="9" t="s">
        <v>57</v>
      </c>
      <c r="C17" s="9" t="s">
        <v>99</v>
      </c>
      <c r="D17" s="9" t="s">
        <v>100</v>
      </c>
      <c r="E17" s="9" t="s">
        <v>101</v>
      </c>
      <c r="F17" s="9" t="s">
        <v>46</v>
      </c>
      <c r="G17" s="9" t="n">
        <v>8</v>
      </c>
      <c r="H17" s="9" t="s">
        <v>92</v>
      </c>
      <c r="I17" s="9" t="s">
        <v>66</v>
      </c>
      <c r="J17" s="9" t="s">
        <v>48</v>
      </c>
    </row>
    <row r="18" customFormat="false" ht="90.75" hidden="false" customHeight="true" outlineLevel="0" collapsed="false">
      <c r="A18" s="9" t="n">
        <v>4</v>
      </c>
      <c r="B18" s="9" t="s">
        <v>57</v>
      </c>
      <c r="C18" s="9" t="s">
        <v>102</v>
      </c>
      <c r="D18" s="9" t="s">
        <v>103</v>
      </c>
      <c r="E18" s="9" t="s">
        <v>104</v>
      </c>
      <c r="F18" s="9" t="s">
        <v>46</v>
      </c>
      <c r="G18" s="9" t="n">
        <v>5</v>
      </c>
      <c r="H18" s="9" t="s">
        <v>99</v>
      </c>
      <c r="I18" s="9" t="s">
        <v>6</v>
      </c>
      <c r="J18" s="9" t="s">
        <v>48</v>
      </c>
    </row>
    <row r="19" customFormat="false" ht="15" hidden="false" customHeight="true" outlineLevel="0" collapsed="false">
      <c r="A19" s="10"/>
      <c r="C19" s="10"/>
      <c r="D19" s="11"/>
    </row>
    <row r="20" customFormat="false" ht="15" hidden="false" customHeight="true" outlineLevel="0" collapsed="false">
      <c r="A20" s="10" t="s">
        <v>105</v>
      </c>
      <c r="C20" s="10" t="s">
        <v>106</v>
      </c>
      <c r="D20" s="11" t="str">
        <f aca="false">COUNTIF(J2:J18,"Done")&amp;" / "&amp;COUNTA(J2:J18)</f>
        <v>17 / 17</v>
      </c>
    </row>
    <row r="21" customFormat="false" ht="15" hidden="false" customHeight="true" outlineLevel="0" collapsed="false">
      <c r="A21" s="10" t="s">
        <v>107</v>
      </c>
      <c r="D21" s="11" t="n">
        <f aca="false">SUM(G2:G18)</f>
        <v>123</v>
      </c>
    </row>
    <row r="22" customFormat="false" ht="15" hidden="false" customHeight="true" outlineLevel="0" collapsed="false">
      <c r="A22" s="10" t="s">
        <v>108</v>
      </c>
      <c r="D22" s="11" t="n">
        <f aca="false">SUMIF(J2:J18,"Done",G2:G18)</f>
        <v>123</v>
      </c>
    </row>
  </sheetData>
  <autoFilter ref="A1:J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14"/>
  </cols>
  <sheetData>
    <row r="1" customFormat="false" ht="15" hidden="false" customHeight="true" outlineLevel="0" collapsed="false">
      <c r="A1" s="12" t="s">
        <v>109</v>
      </c>
      <c r="B1" s="12"/>
      <c r="C1" s="12"/>
      <c r="D1" s="12"/>
      <c r="E1" s="12"/>
      <c r="F1" s="12"/>
    </row>
    <row r="2" customFormat="false" ht="15" hidden="false" customHeight="true" outlineLevel="0" collapsed="false">
      <c r="A2" s="8" t="s">
        <v>33</v>
      </c>
      <c r="B2" s="8" t="s">
        <v>110</v>
      </c>
      <c r="C2" s="8" t="s">
        <v>111</v>
      </c>
      <c r="D2" s="8" t="s">
        <v>38</v>
      </c>
      <c r="E2" s="8" t="s">
        <v>41</v>
      </c>
    </row>
    <row r="3" customFormat="false" ht="15" hidden="false" customHeight="true" outlineLevel="0" collapsed="false">
      <c r="A3" s="7" t="s">
        <v>42</v>
      </c>
      <c r="B3" s="7" t="s">
        <v>112</v>
      </c>
      <c r="C3" s="7" t="n">
        <v>1</v>
      </c>
      <c r="D3" s="7" t="n">
        <v>5</v>
      </c>
      <c r="E3" s="7" t="s">
        <v>48</v>
      </c>
    </row>
    <row r="4" customFormat="false" ht="15" hidden="false" customHeight="true" outlineLevel="0" collapsed="false">
      <c r="A4" s="7" t="s">
        <v>49</v>
      </c>
      <c r="B4" s="7" t="s">
        <v>113</v>
      </c>
      <c r="C4" s="7" t="n">
        <v>1</v>
      </c>
      <c r="D4" s="7" t="n">
        <v>8</v>
      </c>
      <c r="E4" s="7" t="s">
        <v>48</v>
      </c>
    </row>
    <row r="5" customFormat="false" ht="15" hidden="false" customHeight="true" outlineLevel="0" collapsed="false">
      <c r="A5" s="7" t="s">
        <v>53</v>
      </c>
      <c r="B5" s="7" t="s">
        <v>114</v>
      </c>
      <c r="C5" s="7" t="n">
        <v>1</v>
      </c>
      <c r="D5" s="7" t="n">
        <v>13</v>
      </c>
      <c r="E5" s="7" t="s">
        <v>48</v>
      </c>
    </row>
    <row r="6" customFormat="false" ht="15" hidden="false" customHeight="true" outlineLevel="0" collapsed="false">
      <c r="A6" s="7" t="s">
        <v>62</v>
      </c>
      <c r="B6" s="7" t="s">
        <v>115</v>
      </c>
      <c r="C6" s="7" t="n">
        <v>2</v>
      </c>
      <c r="D6" s="7" t="n">
        <v>34</v>
      </c>
      <c r="E6" s="7" t="s">
        <v>48</v>
      </c>
    </row>
    <row r="7" customFormat="false" ht="15" hidden="false" customHeight="true" outlineLevel="0" collapsed="false">
      <c r="A7" s="7" t="s">
        <v>78</v>
      </c>
      <c r="B7" s="7" t="s">
        <v>116</v>
      </c>
      <c r="C7" s="7" t="n">
        <v>3</v>
      </c>
      <c r="D7" s="7" t="n">
        <v>34</v>
      </c>
      <c r="E7" s="7" t="s">
        <v>48</v>
      </c>
    </row>
    <row r="8" customFormat="false" ht="15" hidden="false" customHeight="true" outlineLevel="0" collapsed="false">
      <c r="A8" s="7" t="s">
        <v>57</v>
      </c>
      <c r="B8" s="7" t="s">
        <v>117</v>
      </c>
      <c r="C8" s="7" t="s">
        <v>118</v>
      </c>
      <c r="D8" s="7" t="n">
        <v>29</v>
      </c>
      <c r="E8" s="7" t="s">
        <v>48</v>
      </c>
    </row>
    <row r="10" customFormat="false" ht="15" hidden="false" customHeight="true" outlineLevel="0" collapsed="false">
      <c r="A10" s="10" t="s">
        <v>119</v>
      </c>
      <c r="D10" s="10" t="n">
        <v>123</v>
      </c>
    </row>
    <row r="12" customFormat="false" ht="15" hidden="false" customHeight="true" outlineLevel="0" collapsed="false">
      <c r="A12" s="13" t="s">
        <v>120</v>
      </c>
    </row>
    <row r="13" customFormat="false" ht="39" hidden="false" customHeight="true" outlineLevel="0" collapsed="false">
      <c r="A13" s="8" t="s">
        <v>111</v>
      </c>
      <c r="B13" s="8" t="s">
        <v>121</v>
      </c>
      <c r="C13" s="8" t="s">
        <v>122</v>
      </c>
      <c r="D13" s="8" t="s">
        <v>123</v>
      </c>
      <c r="E13" s="8" t="s">
        <v>124</v>
      </c>
    </row>
    <row r="14" customFormat="false" ht="15" hidden="false" customHeight="true" outlineLevel="0" collapsed="false">
      <c r="A14" s="14" t="s">
        <v>125</v>
      </c>
      <c r="B14" s="14" t="s">
        <v>126</v>
      </c>
      <c r="C14" s="14" t="n">
        <v>29</v>
      </c>
      <c r="D14" s="14" t="n">
        <v>29</v>
      </c>
      <c r="E14" s="15" t="n">
        <f aca="false">D14/C14</f>
        <v>1</v>
      </c>
    </row>
    <row r="15" customFormat="false" ht="15" hidden="false" customHeight="true" outlineLevel="0" collapsed="false">
      <c r="A15" s="14" t="s">
        <v>127</v>
      </c>
      <c r="B15" s="14" t="s">
        <v>128</v>
      </c>
      <c r="C15" s="14" t="n">
        <v>34</v>
      </c>
      <c r="D15" s="14" t="n">
        <v>34</v>
      </c>
      <c r="E15" s="15" t="n">
        <f aca="false">D15/C15</f>
        <v>1</v>
      </c>
    </row>
    <row r="16" customFormat="false" ht="15" hidden="false" customHeight="true" outlineLevel="0" collapsed="false">
      <c r="A16" s="14" t="s">
        <v>129</v>
      </c>
      <c r="B16" s="14" t="s">
        <v>130</v>
      </c>
      <c r="C16" s="14" t="n">
        <v>34</v>
      </c>
      <c r="D16" s="14" t="n">
        <v>34</v>
      </c>
      <c r="E16" s="15" t="n">
        <f aca="false">D16/C16</f>
        <v>1</v>
      </c>
    </row>
    <row r="17" customFormat="false" ht="15" hidden="false" customHeight="true" outlineLevel="0" collapsed="false">
      <c r="A17" s="14" t="s">
        <v>131</v>
      </c>
      <c r="B17" s="14" t="s">
        <v>132</v>
      </c>
      <c r="C17" s="14" t="n">
        <v>26</v>
      </c>
      <c r="D17" s="14" t="n">
        <v>26</v>
      </c>
      <c r="E17" s="15" t="n">
        <f aca="false">D17/C17</f>
        <v>1</v>
      </c>
    </row>
    <row r="18" customFormat="false" ht="15" hidden="false" customHeight="true" outlineLevel="0" collapsed="false">
      <c r="A18" s="16" t="s">
        <v>133</v>
      </c>
      <c r="B18" s="17"/>
      <c r="C18" s="16" t="n">
        <f aca="false">SUM(C14:C17)</f>
        <v>123</v>
      </c>
      <c r="D18" s="16" t="n">
        <f aca="false">SUM(D14:D17)</f>
        <v>123</v>
      </c>
      <c r="E18" s="18" t="n">
        <f aca="false">D18/C18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9" t="s">
        <v>134</v>
      </c>
      <c r="B1" s="19"/>
      <c r="C1" s="19"/>
      <c r="D1" s="19"/>
    </row>
    <row r="2" customFormat="false" ht="15" hidden="false" customHeight="false" outlineLevel="0" collapsed="false">
      <c r="A2" s="8" t="s">
        <v>35</v>
      </c>
      <c r="B2" s="8" t="s">
        <v>135</v>
      </c>
      <c r="C2" s="8" t="s">
        <v>136</v>
      </c>
      <c r="D2" s="8" t="s">
        <v>41</v>
      </c>
    </row>
    <row r="3" customFormat="false" ht="23.85" hidden="false" customHeight="false" outlineLevel="0" collapsed="false">
      <c r="A3" s="9" t="s">
        <v>137</v>
      </c>
      <c r="B3" s="9" t="s">
        <v>138</v>
      </c>
      <c r="C3" s="9" t="s">
        <v>139</v>
      </c>
      <c r="D3" s="9" t="s">
        <v>140</v>
      </c>
    </row>
    <row r="4" customFormat="false" ht="23.85" hidden="false" customHeight="false" outlineLevel="0" collapsed="false">
      <c r="A4" s="9" t="s">
        <v>141</v>
      </c>
      <c r="B4" s="9" t="s">
        <v>142</v>
      </c>
      <c r="C4" s="9" t="s">
        <v>143</v>
      </c>
      <c r="D4" s="9" t="s">
        <v>140</v>
      </c>
    </row>
    <row r="5" customFormat="false" ht="35.05" hidden="false" customHeight="false" outlineLevel="0" collapsed="false">
      <c r="A5" s="9" t="s">
        <v>144</v>
      </c>
      <c r="B5" s="9" t="s">
        <v>145</v>
      </c>
      <c r="C5" s="9" t="s">
        <v>146</v>
      </c>
      <c r="D5" s="9" t="s">
        <v>140</v>
      </c>
    </row>
    <row r="6" customFormat="false" ht="23.85" hidden="false" customHeight="false" outlineLevel="0" collapsed="false">
      <c r="A6" s="9" t="s">
        <v>147</v>
      </c>
      <c r="B6" s="9" t="s">
        <v>148</v>
      </c>
      <c r="C6" s="9" t="s">
        <v>149</v>
      </c>
      <c r="D6" s="9" t="s">
        <v>150</v>
      </c>
    </row>
    <row r="7" customFormat="false" ht="23.85" hidden="false" customHeight="false" outlineLevel="0" collapsed="false">
      <c r="A7" s="9" t="s">
        <v>151</v>
      </c>
      <c r="B7" s="9" t="s">
        <v>152</v>
      </c>
      <c r="C7" s="9" t="s">
        <v>153</v>
      </c>
      <c r="D7" s="9" t="s">
        <v>154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55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2"/>
  </cols>
  <sheetData>
    <row r="1" customFormat="false" ht="15" hidden="false" customHeight="true" outlineLevel="0" collapsed="false">
      <c r="A1" s="3" t="s">
        <v>155</v>
      </c>
      <c r="B1" s="3"/>
      <c r="C1" s="3"/>
      <c r="D1" s="3"/>
      <c r="E1" s="3"/>
      <c r="F1" s="3"/>
      <c r="G1" s="3"/>
      <c r="H1" s="3"/>
      <c r="I1" s="3"/>
    </row>
    <row r="2" customFormat="false" ht="26.25" hidden="false" customHeight="true" outlineLevel="0" collapsed="false">
      <c r="A2" s="8" t="s">
        <v>34</v>
      </c>
      <c r="B2" s="8" t="s">
        <v>156</v>
      </c>
      <c r="C2" s="8" t="s">
        <v>157</v>
      </c>
      <c r="D2" s="8" t="s">
        <v>158</v>
      </c>
      <c r="E2" s="8" t="s">
        <v>159</v>
      </c>
      <c r="F2" s="8" t="s">
        <v>160</v>
      </c>
      <c r="G2" s="8" t="s">
        <v>161</v>
      </c>
      <c r="H2" s="8" t="s">
        <v>41</v>
      </c>
      <c r="I2" s="8" t="s">
        <v>162</v>
      </c>
    </row>
    <row r="3" customFormat="false" ht="15" hidden="false" customHeight="true" outlineLevel="0" collapsed="false">
      <c r="A3" s="20" t="s">
        <v>163</v>
      </c>
      <c r="B3" s="20"/>
      <c r="C3" s="20"/>
      <c r="D3" s="20"/>
      <c r="E3" s="20"/>
      <c r="F3" s="20"/>
      <c r="G3" s="20"/>
      <c r="H3" s="20"/>
      <c r="I3" s="20"/>
    </row>
    <row r="4" customFormat="false" ht="23.25" hidden="false" customHeight="true" outlineLevel="0" collapsed="false">
      <c r="A4" s="9" t="s">
        <v>43</v>
      </c>
      <c r="B4" s="9" t="s">
        <v>164</v>
      </c>
      <c r="C4" s="9" t="s">
        <v>165</v>
      </c>
      <c r="D4" s="9" t="s">
        <v>166</v>
      </c>
      <c r="E4" s="9" t="s">
        <v>167</v>
      </c>
      <c r="F4" s="9" t="s">
        <v>9</v>
      </c>
      <c r="G4" s="9" t="s">
        <v>168</v>
      </c>
      <c r="H4" s="9" t="s">
        <v>169</v>
      </c>
      <c r="I4" s="9" t="n">
        <v>1</v>
      </c>
    </row>
    <row r="5" customFormat="false" ht="23.25" hidden="false" customHeight="true" outlineLevel="0" collapsed="false">
      <c r="A5" s="9" t="s">
        <v>43</v>
      </c>
      <c r="B5" s="9" t="s">
        <v>170</v>
      </c>
      <c r="C5" s="9" t="s">
        <v>171</v>
      </c>
      <c r="D5" s="9" t="s">
        <v>167</v>
      </c>
      <c r="E5" s="9" t="s">
        <v>172</v>
      </c>
      <c r="F5" s="9" t="s">
        <v>173</v>
      </c>
      <c r="G5" s="9" t="s">
        <v>174</v>
      </c>
      <c r="H5" s="9" t="s">
        <v>169</v>
      </c>
      <c r="I5" s="9" t="n">
        <v>1.5</v>
      </c>
    </row>
    <row r="6" customFormat="false" ht="23.25" hidden="false" customHeight="true" outlineLevel="0" collapsed="false">
      <c r="A6" s="9" t="s">
        <v>43</v>
      </c>
      <c r="B6" s="9" t="s">
        <v>175</v>
      </c>
      <c r="C6" s="9" t="s">
        <v>176</v>
      </c>
      <c r="D6" s="9" t="s">
        <v>172</v>
      </c>
      <c r="E6" s="9" t="s">
        <v>177</v>
      </c>
      <c r="F6" s="9" t="s">
        <v>178</v>
      </c>
      <c r="G6" s="9" t="s">
        <v>174</v>
      </c>
      <c r="H6" s="9" t="s">
        <v>169</v>
      </c>
      <c r="I6" s="9" t="n">
        <v>1.5</v>
      </c>
    </row>
    <row r="7" customFormat="false" ht="23.25" hidden="false" customHeight="true" outlineLevel="0" collapsed="false">
      <c r="A7" s="9" t="s">
        <v>43</v>
      </c>
      <c r="B7" s="9" t="s">
        <v>179</v>
      </c>
      <c r="C7" s="9" t="s">
        <v>180</v>
      </c>
      <c r="D7" s="9" t="s">
        <v>177</v>
      </c>
      <c r="E7" s="9" t="s">
        <v>181</v>
      </c>
      <c r="F7" s="9" t="s">
        <v>9</v>
      </c>
      <c r="G7" s="9" t="s">
        <v>174</v>
      </c>
      <c r="H7" s="9" t="s">
        <v>169</v>
      </c>
      <c r="I7" s="9" t="n">
        <v>1</v>
      </c>
    </row>
    <row r="8" customFormat="false" ht="15" hidden="false" customHeight="true" outlineLevel="0" collapsed="false">
      <c r="A8" s="9" t="s">
        <v>43</v>
      </c>
      <c r="B8" s="9" t="s">
        <v>182</v>
      </c>
      <c r="C8" s="9" t="s">
        <v>183</v>
      </c>
      <c r="D8" s="9" t="s">
        <v>181</v>
      </c>
      <c r="E8" s="9" t="s">
        <v>184</v>
      </c>
      <c r="F8" s="9" t="s">
        <v>173</v>
      </c>
      <c r="G8" s="9" t="s">
        <v>174</v>
      </c>
      <c r="H8" s="9" t="s">
        <v>169</v>
      </c>
      <c r="I8" s="9" t="n">
        <v>2</v>
      </c>
    </row>
    <row r="9" customFormat="false" ht="23.25" hidden="false" customHeight="true" outlineLevel="0" collapsed="false">
      <c r="A9" s="9" t="s">
        <v>50</v>
      </c>
      <c r="B9" s="9" t="s">
        <v>185</v>
      </c>
      <c r="C9" s="9" t="s">
        <v>186</v>
      </c>
      <c r="D9" s="9" t="s">
        <v>187</v>
      </c>
      <c r="E9" s="9" t="s">
        <v>188</v>
      </c>
      <c r="F9" s="9" t="s">
        <v>178</v>
      </c>
      <c r="G9" s="9" t="s">
        <v>174</v>
      </c>
      <c r="H9" s="9" t="s">
        <v>169</v>
      </c>
      <c r="I9" s="9" t="n">
        <v>2</v>
      </c>
    </row>
    <row r="10" customFormat="false" ht="23.25" hidden="false" customHeight="true" outlineLevel="0" collapsed="false">
      <c r="A10" s="9" t="s">
        <v>50</v>
      </c>
      <c r="B10" s="9" t="s">
        <v>189</v>
      </c>
      <c r="C10" s="9" t="s">
        <v>190</v>
      </c>
      <c r="D10" s="9" t="s">
        <v>188</v>
      </c>
      <c r="E10" s="9" t="s">
        <v>191</v>
      </c>
      <c r="F10" s="9" t="s">
        <v>173</v>
      </c>
      <c r="G10" s="9" t="s">
        <v>192</v>
      </c>
      <c r="H10" s="9" t="s">
        <v>169</v>
      </c>
      <c r="I10" s="9" t="n">
        <v>3</v>
      </c>
    </row>
    <row r="11" customFormat="false" ht="23.25" hidden="false" customHeight="true" outlineLevel="0" collapsed="false">
      <c r="A11" s="9" t="s">
        <v>50</v>
      </c>
      <c r="B11" s="9" t="s">
        <v>193</v>
      </c>
      <c r="C11" s="9" t="s">
        <v>194</v>
      </c>
      <c r="D11" s="9" t="s">
        <v>191</v>
      </c>
      <c r="E11" s="9" t="s">
        <v>195</v>
      </c>
      <c r="F11" s="9" t="s">
        <v>9</v>
      </c>
      <c r="G11" s="9" t="s">
        <v>192</v>
      </c>
      <c r="H11" s="9" t="s">
        <v>169</v>
      </c>
      <c r="I11" s="9" t="n">
        <v>2</v>
      </c>
    </row>
    <row r="12" customFormat="false" ht="15" hidden="false" customHeight="true" outlineLevel="0" collapsed="false">
      <c r="A12" s="9" t="s">
        <v>50</v>
      </c>
      <c r="B12" s="9" t="s">
        <v>196</v>
      </c>
      <c r="C12" s="9" t="s">
        <v>197</v>
      </c>
      <c r="D12" s="9" t="s">
        <v>195</v>
      </c>
      <c r="E12" s="9" t="s">
        <v>198</v>
      </c>
      <c r="F12" s="9" t="s">
        <v>173</v>
      </c>
      <c r="G12" s="9" t="s">
        <v>174</v>
      </c>
      <c r="H12" s="9" t="s">
        <v>169</v>
      </c>
      <c r="I12" s="9" t="n">
        <v>1.5</v>
      </c>
    </row>
    <row r="13" customFormat="false" ht="23.25" hidden="false" customHeight="true" outlineLevel="0" collapsed="false">
      <c r="A13" s="9" t="s">
        <v>50</v>
      </c>
      <c r="B13" s="9" t="s">
        <v>199</v>
      </c>
      <c r="C13" s="9" t="s">
        <v>200</v>
      </c>
      <c r="D13" s="9" t="s">
        <v>198</v>
      </c>
      <c r="E13" s="9" t="s">
        <v>201</v>
      </c>
      <c r="F13" s="9" t="s">
        <v>9</v>
      </c>
      <c r="G13" s="9" t="s">
        <v>202</v>
      </c>
      <c r="H13" s="9" t="s">
        <v>169</v>
      </c>
      <c r="I13" s="9" t="n">
        <v>1</v>
      </c>
    </row>
    <row r="14" customFormat="false" ht="23.25" hidden="false" customHeight="true" outlineLevel="0" collapsed="false">
      <c r="A14" s="9" t="s">
        <v>54</v>
      </c>
      <c r="B14" s="9" t="s">
        <v>203</v>
      </c>
      <c r="C14" s="9" t="s">
        <v>204</v>
      </c>
      <c r="D14" s="9" t="s">
        <v>205</v>
      </c>
      <c r="E14" s="9" t="s">
        <v>206</v>
      </c>
      <c r="F14" s="9" t="s">
        <v>9</v>
      </c>
      <c r="G14" s="9" t="s">
        <v>192</v>
      </c>
      <c r="H14" s="9" t="s">
        <v>169</v>
      </c>
      <c r="I14" s="9" t="n">
        <v>2</v>
      </c>
    </row>
    <row r="15" customFormat="false" ht="23.25" hidden="false" customHeight="true" outlineLevel="0" collapsed="false">
      <c r="A15" s="9" t="s">
        <v>54</v>
      </c>
      <c r="B15" s="9" t="s">
        <v>207</v>
      </c>
      <c r="C15" s="9" t="s">
        <v>208</v>
      </c>
      <c r="D15" s="9" t="s">
        <v>206</v>
      </c>
      <c r="E15" s="9" t="s">
        <v>209</v>
      </c>
      <c r="F15" s="9" t="s">
        <v>178</v>
      </c>
      <c r="G15" s="9" t="s">
        <v>174</v>
      </c>
      <c r="H15" s="9" t="s">
        <v>169</v>
      </c>
      <c r="I15" s="9" t="n">
        <v>1</v>
      </c>
    </row>
    <row r="16" customFormat="false" ht="15" hidden="false" customHeight="true" outlineLevel="0" collapsed="false">
      <c r="A16" s="9" t="s">
        <v>54</v>
      </c>
      <c r="B16" s="9" t="s">
        <v>210</v>
      </c>
      <c r="C16" s="9" t="s">
        <v>211</v>
      </c>
      <c r="D16" s="9" t="s">
        <v>209</v>
      </c>
      <c r="E16" s="9" t="s">
        <v>212</v>
      </c>
      <c r="F16" s="9" t="s">
        <v>173</v>
      </c>
      <c r="G16" s="9" t="s">
        <v>192</v>
      </c>
      <c r="H16" s="9" t="s">
        <v>169</v>
      </c>
      <c r="I16" s="9" t="n">
        <v>2.5</v>
      </c>
    </row>
    <row r="17" customFormat="false" ht="15" hidden="false" customHeight="true" outlineLevel="0" collapsed="false">
      <c r="A17" s="9" t="s">
        <v>54</v>
      </c>
      <c r="B17" s="9" t="s">
        <v>213</v>
      </c>
      <c r="C17" s="9" t="s">
        <v>214</v>
      </c>
      <c r="D17" s="9" t="s">
        <v>212</v>
      </c>
      <c r="E17" s="9" t="s">
        <v>215</v>
      </c>
      <c r="F17" s="9" t="s">
        <v>178</v>
      </c>
      <c r="G17" s="9" t="s">
        <v>192</v>
      </c>
      <c r="H17" s="9" t="s">
        <v>169</v>
      </c>
      <c r="I17" s="9" t="n">
        <v>1.5</v>
      </c>
    </row>
    <row r="18" customFormat="false" ht="23.25" hidden="false" customHeight="true" outlineLevel="0" collapsed="false">
      <c r="A18" s="9" t="s">
        <v>54</v>
      </c>
      <c r="B18" s="9" t="s">
        <v>216</v>
      </c>
      <c r="C18" s="9" t="s">
        <v>217</v>
      </c>
      <c r="D18" s="9" t="s">
        <v>215</v>
      </c>
      <c r="E18" s="9" t="s">
        <v>218</v>
      </c>
      <c r="F18" s="9" t="s">
        <v>9</v>
      </c>
      <c r="G18" s="9" t="s">
        <v>192</v>
      </c>
      <c r="H18" s="9" t="s">
        <v>169</v>
      </c>
      <c r="I18" s="9" t="n">
        <v>2</v>
      </c>
    </row>
    <row r="19" customFormat="false" ht="23.25" hidden="false" customHeight="true" outlineLevel="0" collapsed="false">
      <c r="A19" s="9" t="s">
        <v>54</v>
      </c>
      <c r="B19" s="9" t="s">
        <v>219</v>
      </c>
      <c r="C19" s="9" t="s">
        <v>220</v>
      </c>
      <c r="D19" s="9" t="s">
        <v>218</v>
      </c>
      <c r="E19" s="9" t="s">
        <v>221</v>
      </c>
      <c r="F19" s="9" t="s">
        <v>173</v>
      </c>
      <c r="G19" s="9" t="s">
        <v>192</v>
      </c>
      <c r="H19" s="9" t="s">
        <v>169</v>
      </c>
      <c r="I19" s="9" t="n">
        <v>1.5</v>
      </c>
    </row>
    <row r="20" customFormat="false" ht="15" hidden="false" customHeight="true" outlineLevel="0" collapsed="false">
      <c r="A20" s="9" t="s">
        <v>54</v>
      </c>
      <c r="B20" s="9" t="s">
        <v>222</v>
      </c>
      <c r="C20" s="9" t="s">
        <v>223</v>
      </c>
      <c r="D20" s="9" t="s">
        <v>221</v>
      </c>
      <c r="E20" s="9" t="s">
        <v>224</v>
      </c>
      <c r="F20" s="9" t="s">
        <v>9</v>
      </c>
      <c r="G20" s="9" t="s">
        <v>202</v>
      </c>
      <c r="H20" s="9" t="s">
        <v>169</v>
      </c>
      <c r="I20" s="9" t="n">
        <v>1</v>
      </c>
    </row>
    <row r="21" customFormat="false" ht="15" hidden="false" customHeight="true" outlineLevel="0" collapsed="false">
      <c r="A21" s="9" t="s">
        <v>58</v>
      </c>
      <c r="B21" s="9" t="s">
        <v>225</v>
      </c>
      <c r="C21" s="9" t="s">
        <v>226</v>
      </c>
      <c r="D21" s="9" t="s">
        <v>224</v>
      </c>
      <c r="E21" s="9" t="s">
        <v>227</v>
      </c>
      <c r="F21" s="9" t="s">
        <v>178</v>
      </c>
      <c r="G21" s="9" t="s">
        <v>228</v>
      </c>
      <c r="H21" s="9" t="s">
        <v>169</v>
      </c>
      <c r="I21" s="9" t="n">
        <v>0.5</v>
      </c>
    </row>
    <row r="22" customFormat="false" ht="23.25" hidden="false" customHeight="true" outlineLevel="0" collapsed="false">
      <c r="A22" s="9" t="s">
        <v>58</v>
      </c>
      <c r="B22" s="9" t="s">
        <v>229</v>
      </c>
      <c r="C22" s="9" t="s">
        <v>230</v>
      </c>
      <c r="D22" s="9" t="s">
        <v>231</v>
      </c>
      <c r="E22" s="9" t="s">
        <v>232</v>
      </c>
      <c r="F22" s="9" t="s">
        <v>9</v>
      </c>
      <c r="G22" s="9" t="s">
        <v>228</v>
      </c>
      <c r="H22" s="9" t="s">
        <v>169</v>
      </c>
      <c r="I22" s="9" t="n">
        <v>2</v>
      </c>
    </row>
    <row r="24" customFormat="false" ht="15" hidden="false" customHeight="true" outlineLevel="0" collapsed="false">
      <c r="A24" s="20" t="s">
        <v>233</v>
      </c>
      <c r="B24" s="20"/>
      <c r="C24" s="20"/>
      <c r="D24" s="20"/>
      <c r="E24" s="20"/>
      <c r="F24" s="20"/>
      <c r="G24" s="20"/>
      <c r="H24" s="20"/>
      <c r="I24" s="20"/>
    </row>
    <row r="25" customFormat="false" ht="23.25" hidden="false" customHeight="true" outlineLevel="0" collapsed="false">
      <c r="A25" s="9" t="s">
        <v>63</v>
      </c>
      <c r="B25" s="9" t="s">
        <v>234</v>
      </c>
      <c r="C25" s="9" t="s">
        <v>235</v>
      </c>
      <c r="D25" s="21" t="s">
        <v>236</v>
      </c>
      <c r="E25" s="21" t="s">
        <v>237</v>
      </c>
      <c r="F25" s="21" t="s">
        <v>66</v>
      </c>
      <c r="G25" s="9" t="s">
        <v>192</v>
      </c>
      <c r="H25" s="9" t="s">
        <v>169</v>
      </c>
      <c r="I25" s="21"/>
    </row>
    <row r="26" customFormat="false" ht="23.25" hidden="false" customHeight="true" outlineLevel="0" collapsed="false">
      <c r="A26" s="9" t="s">
        <v>63</v>
      </c>
      <c r="B26" s="9" t="s">
        <v>238</v>
      </c>
      <c r="C26" s="9" t="s">
        <v>239</v>
      </c>
      <c r="D26" s="21" t="s">
        <v>240</v>
      </c>
      <c r="E26" s="21" t="s">
        <v>241</v>
      </c>
      <c r="F26" s="21" t="s">
        <v>66</v>
      </c>
      <c r="G26" s="9" t="s">
        <v>192</v>
      </c>
      <c r="H26" s="9" t="s">
        <v>169</v>
      </c>
      <c r="I26" s="21"/>
    </row>
    <row r="27" customFormat="false" ht="23.25" hidden="false" customHeight="true" outlineLevel="0" collapsed="false">
      <c r="A27" s="9" t="s">
        <v>63</v>
      </c>
      <c r="B27" s="9" t="s">
        <v>242</v>
      </c>
      <c r="C27" s="9" t="s">
        <v>243</v>
      </c>
      <c r="D27" s="21" t="s">
        <v>241</v>
      </c>
      <c r="E27" s="21" t="s">
        <v>244</v>
      </c>
      <c r="F27" s="21" t="s">
        <v>66</v>
      </c>
      <c r="G27" s="9" t="s">
        <v>192</v>
      </c>
      <c r="H27" s="9" t="s">
        <v>169</v>
      </c>
      <c r="I27" s="21"/>
    </row>
    <row r="28" customFormat="false" ht="23.25" hidden="false" customHeight="true" outlineLevel="0" collapsed="false">
      <c r="A28" s="9" t="s">
        <v>67</v>
      </c>
      <c r="B28" s="9" t="s">
        <v>245</v>
      </c>
      <c r="C28" s="9" t="s">
        <v>246</v>
      </c>
      <c r="D28" s="21" t="s">
        <v>244</v>
      </c>
      <c r="E28" s="21" t="s">
        <v>247</v>
      </c>
      <c r="F28" s="21" t="s">
        <v>66</v>
      </c>
      <c r="G28" s="9" t="s">
        <v>192</v>
      </c>
      <c r="H28" s="9" t="s">
        <v>169</v>
      </c>
      <c r="I28" s="21"/>
    </row>
    <row r="29" customFormat="false" ht="23.25" hidden="false" customHeight="true" outlineLevel="0" collapsed="false">
      <c r="A29" s="9" t="s">
        <v>70</v>
      </c>
      <c r="B29" s="9" t="s">
        <v>248</v>
      </c>
      <c r="C29" s="9" t="s">
        <v>249</v>
      </c>
      <c r="D29" s="21" t="s">
        <v>237</v>
      </c>
      <c r="E29" s="21" t="s">
        <v>250</v>
      </c>
      <c r="F29" s="21" t="s">
        <v>66</v>
      </c>
      <c r="G29" s="9" t="s">
        <v>192</v>
      </c>
      <c r="H29" s="9" t="s">
        <v>169</v>
      </c>
      <c r="I29" s="21"/>
    </row>
    <row r="30" customFormat="false" ht="23.25" hidden="false" customHeight="true" outlineLevel="0" collapsed="false">
      <c r="A30" s="9" t="s">
        <v>73</v>
      </c>
      <c r="B30" s="9" t="s">
        <v>251</v>
      </c>
      <c r="C30" s="9" t="s">
        <v>252</v>
      </c>
      <c r="D30" s="9" t="s">
        <v>247</v>
      </c>
      <c r="E30" s="9"/>
      <c r="F30" s="9" t="s">
        <v>66</v>
      </c>
      <c r="G30" s="9" t="s">
        <v>253</v>
      </c>
      <c r="H30" s="9" t="s">
        <v>169</v>
      </c>
      <c r="I30" s="9"/>
    </row>
    <row r="31" customFormat="false" ht="34.5" hidden="false" customHeight="true" outlineLevel="0" collapsed="false">
      <c r="A31" s="9" t="s">
        <v>73</v>
      </c>
      <c r="B31" s="9" t="s">
        <v>254</v>
      </c>
      <c r="C31" s="9" t="s">
        <v>255</v>
      </c>
      <c r="D31" s="9" t="s">
        <v>256</v>
      </c>
      <c r="E31" s="9"/>
      <c r="F31" s="9" t="s">
        <v>66</v>
      </c>
      <c r="G31" s="9" t="s">
        <v>192</v>
      </c>
      <c r="H31" s="9" t="s">
        <v>169</v>
      </c>
      <c r="I31" s="9"/>
    </row>
    <row r="32" customFormat="false" ht="15" hidden="false" customHeight="true" outlineLevel="0" collapsed="false"/>
    <row r="33" customFormat="false" ht="57" hidden="false" customHeight="true" outlineLevel="0" collapsed="false">
      <c r="A33" s="20" t="s">
        <v>257</v>
      </c>
      <c r="B33" s="20"/>
      <c r="C33" s="20"/>
      <c r="D33" s="20"/>
      <c r="E33" s="20"/>
      <c r="F33" s="20"/>
      <c r="G33" s="20"/>
      <c r="H33" s="20"/>
      <c r="I33" s="20"/>
    </row>
    <row r="34" customFormat="false" ht="15" hidden="false" customHeight="true" outlineLevel="0" collapsed="false">
      <c r="A34" s="9" t="s">
        <v>79</v>
      </c>
      <c r="B34" s="9" t="s">
        <v>258</v>
      </c>
      <c r="C34" s="9" t="s">
        <v>259</v>
      </c>
      <c r="D34" s="9" t="s">
        <v>260</v>
      </c>
      <c r="E34" s="9"/>
      <c r="F34" s="9" t="s">
        <v>66</v>
      </c>
      <c r="G34" s="9" t="s">
        <v>192</v>
      </c>
      <c r="H34" s="9" t="s">
        <v>169</v>
      </c>
      <c r="I34" s="9"/>
    </row>
    <row r="35" customFormat="false" ht="57" hidden="false" customHeight="true" outlineLevel="0" collapsed="false">
      <c r="A35" s="9" t="s">
        <v>82</v>
      </c>
      <c r="B35" s="9" t="s">
        <v>261</v>
      </c>
      <c r="C35" s="9" t="s">
        <v>262</v>
      </c>
      <c r="D35" s="9" t="s">
        <v>263</v>
      </c>
      <c r="E35" s="9"/>
      <c r="F35" s="9" t="s">
        <v>66</v>
      </c>
      <c r="G35" s="9" t="s">
        <v>192</v>
      </c>
      <c r="H35" s="9" t="s">
        <v>169</v>
      </c>
      <c r="I35" s="9"/>
    </row>
    <row r="36" customFormat="false" ht="57" hidden="false" customHeight="true" outlineLevel="0" collapsed="false">
      <c r="A36" s="9" t="s">
        <v>86</v>
      </c>
      <c r="B36" s="9" t="s">
        <v>264</v>
      </c>
      <c r="C36" s="9" t="s">
        <v>265</v>
      </c>
      <c r="D36" s="9" t="s">
        <v>266</v>
      </c>
      <c r="E36" s="9"/>
      <c r="F36" s="9" t="s">
        <v>66</v>
      </c>
      <c r="G36" s="9" t="s">
        <v>192</v>
      </c>
      <c r="H36" s="9" t="s">
        <v>169</v>
      </c>
      <c r="I36" s="9"/>
    </row>
    <row r="37" customFormat="false" ht="23.25" hidden="false" customHeight="true" outlineLevel="0" collapsed="false">
      <c r="A37" s="9" t="s">
        <v>89</v>
      </c>
      <c r="B37" s="9" t="s">
        <v>267</v>
      </c>
      <c r="C37" s="9" t="s">
        <v>268</v>
      </c>
      <c r="D37" s="9" t="s">
        <v>269</v>
      </c>
      <c r="E37" s="9"/>
      <c r="F37" s="9" t="s">
        <v>66</v>
      </c>
      <c r="G37" s="9" t="s">
        <v>192</v>
      </c>
      <c r="H37" s="9" t="s">
        <v>169</v>
      </c>
      <c r="I37" s="9"/>
    </row>
    <row r="38" customFormat="false" ht="15" hidden="false" customHeight="true" outlineLevel="0" collapsed="false">
      <c r="A38" s="9" t="s">
        <v>86</v>
      </c>
      <c r="B38" s="9" t="s">
        <v>270</v>
      </c>
      <c r="C38" s="9" t="s">
        <v>271</v>
      </c>
      <c r="D38" s="9" t="s">
        <v>272</v>
      </c>
      <c r="E38" s="9"/>
      <c r="F38" s="9" t="s">
        <v>66</v>
      </c>
      <c r="G38" s="9" t="s">
        <v>253</v>
      </c>
      <c r="H38" s="9" t="s">
        <v>169</v>
      </c>
      <c r="I38" s="9"/>
    </row>
    <row r="39" customFormat="false" ht="15" hidden="false" customHeight="true" outlineLevel="0" collapsed="false">
      <c r="A39" s="20" t="s">
        <v>273</v>
      </c>
      <c r="B39" s="20"/>
      <c r="C39" s="20"/>
      <c r="D39" s="20"/>
      <c r="E39" s="20"/>
      <c r="F39" s="20"/>
      <c r="G39" s="20"/>
      <c r="H39" s="20"/>
      <c r="I39" s="20"/>
    </row>
    <row r="40" customFormat="false" ht="23.25" hidden="false" customHeight="true" outlineLevel="0" collapsed="false">
      <c r="A40" s="9" t="s">
        <v>92</v>
      </c>
      <c r="B40" s="9" t="s">
        <v>274</v>
      </c>
      <c r="C40" s="9" t="s">
        <v>275</v>
      </c>
      <c r="D40" s="9" t="s">
        <v>276</v>
      </c>
      <c r="E40" s="9"/>
      <c r="F40" s="9" t="s">
        <v>66</v>
      </c>
      <c r="G40" s="9" t="s">
        <v>192</v>
      </c>
      <c r="H40" s="9" t="s">
        <v>169</v>
      </c>
      <c r="I40" s="9"/>
    </row>
    <row r="41" customFormat="false" ht="15" hidden="false" customHeight="true" outlineLevel="0" collapsed="false">
      <c r="A41" s="9" t="s">
        <v>96</v>
      </c>
      <c r="B41" s="9" t="s">
        <v>277</v>
      </c>
      <c r="C41" s="9" t="s">
        <v>278</v>
      </c>
      <c r="D41" s="9" t="s">
        <v>279</v>
      </c>
      <c r="E41" s="9"/>
      <c r="F41" s="9" t="s">
        <v>66</v>
      </c>
      <c r="G41" s="9" t="s">
        <v>192</v>
      </c>
      <c r="H41" s="9" t="s">
        <v>169</v>
      </c>
      <c r="I41" s="9"/>
    </row>
    <row r="42" customFormat="false" ht="23.25" hidden="false" customHeight="true" outlineLevel="0" collapsed="false">
      <c r="A42" s="9" t="s">
        <v>99</v>
      </c>
      <c r="B42" s="9" t="s">
        <v>280</v>
      </c>
      <c r="C42" s="9" t="s">
        <v>281</v>
      </c>
      <c r="D42" s="9" t="s">
        <v>282</v>
      </c>
      <c r="E42" s="9"/>
      <c r="F42" s="9" t="s">
        <v>66</v>
      </c>
      <c r="G42" s="9" t="s">
        <v>253</v>
      </c>
      <c r="H42" s="9" t="s">
        <v>169</v>
      </c>
      <c r="I42" s="9"/>
    </row>
    <row r="43" customFormat="false" ht="23.25" hidden="false" customHeight="true" outlineLevel="0" collapsed="false">
      <c r="A43" s="9" t="s">
        <v>102</v>
      </c>
      <c r="B43" s="9" t="s">
        <v>283</v>
      </c>
      <c r="C43" s="9" t="s">
        <v>284</v>
      </c>
      <c r="D43" s="9" t="s">
        <v>285</v>
      </c>
      <c r="E43" s="9"/>
      <c r="F43" s="9" t="s">
        <v>66</v>
      </c>
      <c r="G43" s="9" t="s">
        <v>228</v>
      </c>
      <c r="H43" s="9" t="s">
        <v>169</v>
      </c>
      <c r="I43" s="9"/>
    </row>
  </sheetData>
  <mergeCells count="5">
    <mergeCell ref="A1:I1"/>
    <mergeCell ref="A3:I3"/>
    <mergeCell ref="A24:I24"/>
    <mergeCell ref="A33:I33"/>
    <mergeCell ref="A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5" min="4" style="1" width="40"/>
    <col collapsed="false" customWidth="true" hidden="false" outlineLevel="0" max="6" min="6" style="1" width="24"/>
  </cols>
  <sheetData>
    <row r="1" customFormat="false" ht="15" hidden="false" customHeight="true" outlineLevel="0" collapsed="false">
      <c r="A1" s="3" t="s">
        <v>286</v>
      </c>
      <c r="B1" s="3"/>
      <c r="C1" s="3"/>
      <c r="D1" s="3"/>
      <c r="E1" s="3"/>
      <c r="F1" s="3"/>
    </row>
    <row r="2" customFormat="false" ht="26.25" hidden="false" customHeight="true" outlineLevel="0" collapsed="false">
      <c r="A2" s="8" t="s">
        <v>287</v>
      </c>
      <c r="B2" s="8" t="s">
        <v>111</v>
      </c>
      <c r="C2" s="8" t="s">
        <v>160</v>
      </c>
      <c r="D2" s="8" t="s">
        <v>288</v>
      </c>
      <c r="E2" s="8" t="s">
        <v>289</v>
      </c>
      <c r="F2" s="8" t="s">
        <v>290</v>
      </c>
    </row>
    <row r="3" customFormat="false" ht="15" hidden="false" customHeight="true" outlineLevel="0" collapsed="false">
      <c r="A3" s="22" t="s">
        <v>291</v>
      </c>
      <c r="B3" s="22" t="n">
        <v>1</v>
      </c>
      <c r="C3" s="22" t="s">
        <v>9</v>
      </c>
      <c r="D3" s="22" t="s">
        <v>292</v>
      </c>
      <c r="E3" s="22" t="s">
        <v>293</v>
      </c>
      <c r="F3" s="22" t="s">
        <v>294</v>
      </c>
    </row>
    <row r="4" customFormat="false" ht="34.5" hidden="false" customHeight="true" outlineLevel="0" collapsed="false">
      <c r="A4" s="7" t="s">
        <v>295</v>
      </c>
      <c r="B4" s="7" t="n">
        <v>2</v>
      </c>
      <c r="C4" s="7" t="s">
        <v>6</v>
      </c>
      <c r="D4" s="7" t="s">
        <v>296</v>
      </c>
      <c r="E4" s="7" t="s">
        <v>297</v>
      </c>
      <c r="F4" s="7" t="s">
        <v>298</v>
      </c>
    </row>
    <row r="5" customFormat="false" ht="68.25" hidden="false" customHeight="true" outlineLevel="0" collapsed="false">
      <c r="A5" s="7" t="s">
        <v>299</v>
      </c>
      <c r="B5" s="7" t="n">
        <v>2</v>
      </c>
      <c r="C5" s="7" t="s">
        <v>6</v>
      </c>
      <c r="D5" s="7" t="s">
        <v>300</v>
      </c>
      <c r="E5" s="7" t="s">
        <v>301</v>
      </c>
      <c r="F5" s="7" t="s">
        <v>302</v>
      </c>
    </row>
    <row r="6" customFormat="false" ht="45.75" hidden="false" customHeight="true" outlineLevel="0" collapsed="false">
      <c r="A6" s="7" t="s">
        <v>303</v>
      </c>
      <c r="B6" s="7" t="n">
        <v>2</v>
      </c>
      <c r="C6" s="7" t="s">
        <v>6</v>
      </c>
      <c r="D6" s="7" t="s">
        <v>304</v>
      </c>
      <c r="E6" s="7" t="s">
        <v>305</v>
      </c>
      <c r="F6" s="7" t="s">
        <v>294</v>
      </c>
    </row>
    <row r="7" customFormat="false" ht="45.75" hidden="false" customHeight="true" outlineLevel="0" collapsed="false">
      <c r="A7" s="7" t="s">
        <v>306</v>
      </c>
      <c r="B7" s="7" t="n">
        <v>2</v>
      </c>
      <c r="C7" s="7" t="s">
        <v>6</v>
      </c>
      <c r="D7" s="7" t="s">
        <v>307</v>
      </c>
      <c r="E7" s="7" t="s">
        <v>308</v>
      </c>
      <c r="F7" s="7" t="s">
        <v>309</v>
      </c>
    </row>
    <row r="8" customFormat="false" ht="45.75" hidden="false" customHeight="true" outlineLevel="0" collapsed="false">
      <c r="A8" s="7" t="s">
        <v>310</v>
      </c>
      <c r="B8" s="7" t="n">
        <v>4</v>
      </c>
      <c r="C8" s="7" t="s">
        <v>6</v>
      </c>
      <c r="D8" s="7" t="s">
        <v>311</v>
      </c>
      <c r="E8" s="7" t="s">
        <v>312</v>
      </c>
      <c r="F8" s="7" t="s">
        <v>313</v>
      </c>
    </row>
    <row r="9" customFormat="false" ht="102.2" hidden="false" customHeight="false" outlineLevel="0" collapsed="false">
      <c r="A9" s="7" t="s">
        <v>314</v>
      </c>
      <c r="B9" s="7" t="n">
        <v>4</v>
      </c>
      <c r="C9" s="7" t="s">
        <v>6</v>
      </c>
      <c r="D9" s="7" t="s">
        <v>315</v>
      </c>
      <c r="E9" s="7" t="s">
        <v>316</v>
      </c>
      <c r="F9" s="7" t="s">
        <v>317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30"/>
  </cols>
  <sheetData>
    <row r="1" customFormat="false" ht="15" hidden="false" customHeight="true" outlineLevel="0" collapsed="false">
      <c r="A1" s="8" t="s">
        <v>318</v>
      </c>
      <c r="B1" s="8" t="s">
        <v>319</v>
      </c>
      <c r="C1" s="8" t="s">
        <v>111</v>
      </c>
      <c r="D1" s="8" t="s">
        <v>136</v>
      </c>
      <c r="E1" s="8" t="s">
        <v>320</v>
      </c>
      <c r="F1" s="8" t="s">
        <v>321</v>
      </c>
      <c r="G1" s="8" t="s">
        <v>41</v>
      </c>
      <c r="H1" s="8" t="s">
        <v>322</v>
      </c>
    </row>
    <row r="2" customFormat="false" ht="15" hidden="false" customHeight="true" outlineLevel="0" collapsed="false">
      <c r="A2" s="7" t="s">
        <v>323</v>
      </c>
      <c r="B2" s="7"/>
      <c r="C2" s="7"/>
      <c r="D2" s="7"/>
      <c r="E2" s="7"/>
      <c r="F2" s="7"/>
      <c r="G2" s="7" t="s">
        <v>324</v>
      </c>
      <c r="H2" s="7"/>
    </row>
    <row r="3" customFormat="false" ht="15" hidden="false" customHeight="true" outlineLevel="0" collapsed="false">
      <c r="A3" s="7" t="s">
        <v>325</v>
      </c>
      <c r="B3" s="7"/>
      <c r="C3" s="7"/>
      <c r="D3" s="7"/>
      <c r="E3" s="7"/>
      <c r="F3" s="7"/>
      <c r="G3" s="7" t="s">
        <v>324</v>
      </c>
      <c r="H3" s="7"/>
    </row>
    <row r="4" customFormat="false" ht="15" hidden="false" customHeight="true" outlineLevel="0" collapsed="false">
      <c r="A4" s="7" t="s">
        <v>326</v>
      </c>
      <c r="B4" s="7"/>
      <c r="C4" s="7"/>
      <c r="D4" s="7"/>
      <c r="E4" s="7"/>
      <c r="F4" s="7"/>
      <c r="G4" s="7" t="s">
        <v>324</v>
      </c>
      <c r="H4" s="7"/>
    </row>
    <row r="5" customFormat="false" ht="15" hidden="false" customHeight="true" outlineLevel="0" collapsed="false">
      <c r="A5" s="7" t="s">
        <v>327</v>
      </c>
      <c r="B5" s="7"/>
      <c r="C5" s="7"/>
      <c r="D5" s="7"/>
      <c r="E5" s="7"/>
      <c r="F5" s="7"/>
      <c r="G5" s="7" t="s">
        <v>324</v>
      </c>
      <c r="H5" s="7"/>
    </row>
    <row r="6" customFormat="false" ht="15" hidden="false" customHeight="true" outlineLevel="0" collapsed="false">
      <c r="A6" s="7" t="s">
        <v>328</v>
      </c>
      <c r="B6" s="7"/>
      <c r="C6" s="7"/>
      <c r="D6" s="7"/>
      <c r="E6" s="7"/>
      <c r="F6" s="7"/>
      <c r="G6" s="7" t="s">
        <v>324</v>
      </c>
      <c r="H6" s="7"/>
    </row>
    <row r="7" customFormat="false" ht="15" hidden="false" customHeight="true" outlineLevel="0" collapsed="false">
      <c r="A7" s="7" t="s">
        <v>329</v>
      </c>
      <c r="B7" s="7"/>
      <c r="C7" s="7"/>
      <c r="D7" s="7"/>
      <c r="E7" s="7"/>
      <c r="F7" s="7"/>
      <c r="G7" s="7" t="s">
        <v>324</v>
      </c>
      <c r="H7" s="7"/>
    </row>
    <row r="8" customFormat="false" ht="15" hidden="false" customHeight="true" outlineLevel="0" collapsed="false">
      <c r="A8" s="7" t="s">
        <v>330</v>
      </c>
      <c r="B8" s="7"/>
      <c r="C8" s="7"/>
      <c r="D8" s="7"/>
      <c r="E8" s="7"/>
      <c r="F8" s="7"/>
      <c r="G8" s="7" t="s">
        <v>324</v>
      </c>
      <c r="H8" s="7"/>
    </row>
    <row r="9" customFormat="false" ht="15" hidden="false" customHeight="true" outlineLevel="0" collapsed="false">
      <c r="A9" s="7" t="s">
        <v>331</v>
      </c>
      <c r="B9" s="7"/>
      <c r="C9" s="7"/>
      <c r="D9" s="7"/>
      <c r="E9" s="7"/>
      <c r="F9" s="7"/>
      <c r="G9" s="7" t="s">
        <v>324</v>
      </c>
      <c r="H9" s="7"/>
    </row>
    <row r="10" customFormat="false" ht="15" hidden="false" customHeight="true" outlineLevel="0" collapsed="false">
      <c r="A10" s="7" t="s">
        <v>332</v>
      </c>
      <c r="B10" s="7"/>
      <c r="C10" s="7"/>
      <c r="D10" s="7"/>
      <c r="E10" s="7"/>
      <c r="F10" s="7"/>
      <c r="G10" s="7" t="s">
        <v>324</v>
      </c>
      <c r="H10" s="7"/>
    </row>
    <row r="11" customFormat="false" ht="15" hidden="false" customHeight="true" outlineLevel="0" collapsed="false">
      <c r="A11" s="7" t="s">
        <v>333</v>
      </c>
      <c r="B11" s="7"/>
      <c r="C11" s="7"/>
      <c r="D11" s="7"/>
      <c r="E11" s="7"/>
      <c r="F11" s="7"/>
      <c r="G11" s="7" t="s">
        <v>324</v>
      </c>
      <c r="H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8" min="5" style="1" width="26"/>
  </cols>
  <sheetData>
    <row r="1" customFormat="false" ht="26.25" hidden="false" customHeight="true" outlineLevel="0" collapsed="false">
      <c r="A1" s="8" t="s">
        <v>111</v>
      </c>
      <c r="B1" s="8" t="s">
        <v>334</v>
      </c>
      <c r="C1" s="8" t="s">
        <v>335</v>
      </c>
      <c r="D1" s="8" t="s">
        <v>160</v>
      </c>
      <c r="E1" s="8" t="s">
        <v>336</v>
      </c>
      <c r="F1" s="8" t="s">
        <v>337</v>
      </c>
      <c r="G1" s="8" t="s">
        <v>338</v>
      </c>
      <c r="H1" s="8" t="s">
        <v>339</v>
      </c>
    </row>
    <row r="2" customFormat="false" ht="15" hidden="false" customHeight="true" outlineLevel="0" collapsed="false">
      <c r="A2" s="7" t="n">
        <v>1</v>
      </c>
      <c r="B2" s="7"/>
      <c r="C2" s="7"/>
      <c r="D2" s="7" t="s">
        <v>9</v>
      </c>
      <c r="E2" s="7"/>
      <c r="F2" s="7"/>
      <c r="G2" s="7"/>
      <c r="H2" s="7"/>
    </row>
    <row r="3" customFormat="false" ht="15" hidden="false" customHeight="true" outlineLevel="0" collapsed="false">
      <c r="A3" s="7" t="n">
        <v>1</v>
      </c>
      <c r="B3" s="7"/>
      <c r="C3" s="7"/>
      <c r="D3" s="7" t="s">
        <v>173</v>
      </c>
      <c r="E3" s="7"/>
      <c r="F3" s="7"/>
      <c r="G3" s="7"/>
      <c r="H3" s="7"/>
    </row>
    <row r="4" customFormat="false" ht="15" hidden="false" customHeight="true" outlineLevel="0" collapsed="false">
      <c r="A4" s="7" t="n">
        <v>1</v>
      </c>
      <c r="B4" s="7"/>
      <c r="C4" s="7"/>
      <c r="D4" s="7" t="s">
        <v>178</v>
      </c>
      <c r="E4" s="7"/>
      <c r="F4" s="7"/>
      <c r="G4" s="7"/>
      <c r="H4" s="7"/>
    </row>
    <row r="5" customFormat="false" ht="15" hidden="false" customHeight="true" outlineLevel="0" collapsed="false">
      <c r="A5" s="7" t="n">
        <v>2</v>
      </c>
      <c r="B5" s="7"/>
      <c r="C5" s="7"/>
      <c r="D5" s="7" t="s">
        <v>9</v>
      </c>
      <c r="E5" s="7"/>
      <c r="F5" s="7"/>
      <c r="G5" s="7"/>
      <c r="H5" s="7"/>
    </row>
    <row r="6" customFormat="false" ht="15" hidden="false" customHeight="true" outlineLevel="0" collapsed="false">
      <c r="A6" s="7" t="n">
        <v>2</v>
      </c>
      <c r="B6" s="7"/>
      <c r="C6" s="7"/>
      <c r="D6" s="7" t="s">
        <v>173</v>
      </c>
      <c r="E6" s="7"/>
      <c r="F6" s="7"/>
      <c r="G6" s="7"/>
      <c r="H6" s="7"/>
    </row>
    <row r="7" customFormat="false" ht="15" hidden="false" customHeight="true" outlineLevel="0" collapsed="false">
      <c r="A7" s="7" t="n">
        <v>2</v>
      </c>
      <c r="B7" s="7"/>
      <c r="C7" s="7"/>
      <c r="D7" s="7" t="s">
        <v>178</v>
      </c>
      <c r="E7" s="7"/>
      <c r="F7" s="7"/>
      <c r="G7" s="7"/>
      <c r="H7" s="7"/>
    </row>
    <row r="8" customFormat="false" ht="15" hidden="false" customHeight="true" outlineLevel="0" collapsed="false">
      <c r="A8" s="7" t="n">
        <v>3</v>
      </c>
      <c r="B8" s="7"/>
      <c r="C8" s="7"/>
      <c r="D8" s="7" t="s">
        <v>9</v>
      </c>
      <c r="E8" s="7"/>
      <c r="F8" s="7"/>
      <c r="G8" s="7"/>
      <c r="H8" s="7"/>
    </row>
    <row r="9" customFormat="false" ht="15" hidden="false" customHeight="true" outlineLevel="0" collapsed="false">
      <c r="A9" s="7" t="n">
        <v>3</v>
      </c>
      <c r="B9" s="7"/>
      <c r="C9" s="7"/>
      <c r="D9" s="7" t="s">
        <v>173</v>
      </c>
      <c r="E9" s="7"/>
      <c r="F9" s="7"/>
      <c r="G9" s="7"/>
      <c r="H9" s="7"/>
    </row>
    <row r="10" customFormat="false" ht="15" hidden="false" customHeight="true" outlineLevel="0" collapsed="false">
      <c r="A10" s="7" t="n">
        <v>3</v>
      </c>
      <c r="B10" s="7"/>
      <c r="C10" s="7"/>
      <c r="D10" s="7" t="s">
        <v>178</v>
      </c>
      <c r="E10" s="7"/>
      <c r="F10" s="7"/>
      <c r="G10" s="7"/>
      <c r="H10" s="7"/>
    </row>
    <row r="11" customFormat="false" ht="15" hidden="false" customHeight="true" outlineLevel="0" collapsed="false">
      <c r="A11" s="7" t="n">
        <v>4</v>
      </c>
      <c r="B11" s="7"/>
      <c r="C11" s="7"/>
      <c r="D11" s="7" t="s">
        <v>9</v>
      </c>
      <c r="E11" s="7"/>
      <c r="F11" s="7"/>
      <c r="G11" s="7"/>
      <c r="H11" s="7"/>
    </row>
    <row r="12" customFormat="false" ht="15" hidden="false" customHeight="true" outlineLevel="0" collapsed="false">
      <c r="A12" s="7" t="n">
        <v>4</v>
      </c>
      <c r="B12" s="7"/>
      <c r="C12" s="7"/>
      <c r="D12" s="7" t="s">
        <v>173</v>
      </c>
      <c r="E12" s="7"/>
      <c r="F12" s="7"/>
      <c r="G12" s="7"/>
      <c r="H12" s="7"/>
    </row>
    <row r="13" customFormat="false" ht="15" hidden="false" customHeight="true" outlineLevel="0" collapsed="false">
      <c r="A13" s="7" t="n">
        <v>4</v>
      </c>
      <c r="B13" s="7"/>
      <c r="C13" s="7"/>
      <c r="D13" s="7" t="s">
        <v>178</v>
      </c>
      <c r="E13" s="7"/>
      <c r="F13" s="7"/>
      <c r="G13" s="7"/>
      <c r="H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0"/>
  </cols>
  <sheetData>
    <row r="1" customFormat="false" ht="15" hidden="false" customHeight="true" outlineLevel="0" collapsed="false">
      <c r="A1" s="8" t="s">
        <v>340</v>
      </c>
      <c r="B1" s="8" t="s">
        <v>341</v>
      </c>
    </row>
    <row r="2" customFormat="false" ht="15" hidden="false" customHeight="true" outlineLevel="0" collapsed="false">
      <c r="A2" s="7" t="s">
        <v>342</v>
      </c>
      <c r="B2" s="9" t="s">
        <v>343</v>
      </c>
    </row>
    <row r="3" customFormat="false" ht="15" hidden="false" customHeight="true" outlineLevel="0" collapsed="false">
      <c r="A3" s="7" t="s">
        <v>344</v>
      </c>
      <c r="B3" s="9" t="s">
        <v>343</v>
      </c>
    </row>
    <row r="4" customFormat="false" ht="15" hidden="false" customHeight="true" outlineLevel="0" collapsed="false">
      <c r="A4" s="7" t="s">
        <v>345</v>
      </c>
      <c r="B4" s="9" t="s">
        <v>343</v>
      </c>
    </row>
    <row r="5" customFormat="false" ht="15" hidden="false" customHeight="true" outlineLevel="0" collapsed="false">
      <c r="A5" s="7" t="s">
        <v>346</v>
      </c>
      <c r="B5" s="9" t="s">
        <v>343</v>
      </c>
    </row>
    <row r="6" customFormat="false" ht="15" hidden="false" customHeight="true" outlineLevel="0" collapsed="false">
      <c r="A6" s="7" t="s">
        <v>347</v>
      </c>
      <c r="B6" s="9" t="s">
        <v>343</v>
      </c>
    </row>
    <row r="7" customFormat="false" ht="23.25" hidden="false" customHeight="true" outlineLevel="0" collapsed="false">
      <c r="A7" s="7" t="s">
        <v>348</v>
      </c>
      <c r="B7" s="9" t="s">
        <v>343</v>
      </c>
    </row>
    <row r="8" customFormat="false" ht="15" hidden="false" customHeight="true" outlineLevel="0" collapsed="false">
      <c r="A8" s="7" t="s">
        <v>349</v>
      </c>
      <c r="B8" s="9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2026-09-09T12:03:52Z</dcterms:created>
  <dc:creator>openpyxl</dc:creator>
  <dc:description/>
  <dc:language>en-US</dc:language>
  <cp:lastModifiedBy/>
  <dcterms:modified xsi:type="dcterms:W3CDTF">2026-10-10T01:48:59Z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